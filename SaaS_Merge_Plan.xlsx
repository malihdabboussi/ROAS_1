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rge Plan" sheetId="1" state="visible" r:id="rId3"/>
    <sheet name="Milestone Summary" sheetId="2" state="visible" r:id="rId4"/>
    <sheet name="Legend &amp; Assumptions" sheetId="3" state="visible" r:id="rId5"/>
  </sheets>
  <definedNames>
    <definedName function="false" hidden="true" localSheetId="0" name="_xlnm._FilterDatabase" vbProcedure="false">'Merge Plan'!$A$4:$L$87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<sst xmlns="http://schemas.openxmlformats.org/spreadsheetml/2006/main" count="749" uniqueCount="362">
  <si>
    <t xml:space="preserve">SaaS Merge - Execution Plan</t>
  </si>
  <si>
    <t xml:space="preserve">Window: Tue 8 Sep 2026 to Thu 1 Oct 2026  |  18 working days  |  Yellow cells with blue text are yours to edit</t>
  </si>
  <si>
    <t xml:space="preserve">ID</t>
  </si>
  <si>
    <t xml:space="preserve">Milestone</t>
  </si>
  <si>
    <t xml:space="preserve">Task</t>
  </si>
  <si>
    <t xml:space="preserve">Owner</t>
  </si>
  <si>
    <t xml:space="preserve">Start</t>
  </si>
  <si>
    <t xml:space="preserve">End</t>
  </si>
  <si>
    <t xml:space="preserve">Work Days</t>
  </si>
  <si>
    <t xml:space="preserve">Depends On</t>
  </si>
  <si>
    <t xml:space="preserve">Status</t>
  </si>
  <si>
    <t xml:space="preserve">% Done</t>
  </si>
  <si>
    <t xml:space="preserve">Critical Path</t>
  </si>
  <si>
    <t xml:space="preserve">Notes / Exit Criteria</t>
  </si>
  <si>
    <t xml:space="preserve">0.1</t>
  </si>
  <si>
    <t xml:space="preserve">M0. Program Setup</t>
  </si>
  <si>
    <t xml:space="preserve">Name single decision owner and escalation path</t>
  </si>
  <si>
    <t xml:space="preserve">Exec Sponsor</t>
  </si>
  <si>
    <t xml:space="preserve">Not Started</t>
  </si>
  <si>
    <t xml:space="preserve">Y</t>
  </si>
  <si>
    <t xml:space="preserve">One named person can break ties without a committee</t>
  </si>
  <si>
    <t xml:space="preserve">0.2</t>
  </si>
  <si>
    <t xml:space="preserve">Stand up shared tracker, comms channel and daily 15-min standup</t>
  </si>
  <si>
    <t xml:space="preserve">PM</t>
  </si>
  <si>
    <t xml:space="preserve">Both teams working from one board, not two</t>
  </si>
  <si>
    <t xml:space="preserve">0.3</t>
  </si>
  <si>
    <t xml:space="preserve">Agree what 'done by 1 Oct' means vs what slips to Q4</t>
  </si>
  <si>
    <t xml:space="preserve">Exec Sponsor / PM</t>
  </si>
  <si>
    <t xml:space="preserve">Written scope statement signed by both product owners</t>
  </si>
  <si>
    <t xml:space="preserve">0.4</t>
  </si>
  <si>
    <t xml:space="preserve">Declare feature freeze and change-freeze windows</t>
  </si>
  <si>
    <t xml:space="preserve">Eng Leads</t>
  </si>
  <si>
    <t xml:space="preserve">No non-merge releases to either system during cutover week</t>
  </si>
  <si>
    <t xml:space="preserve">0.5</t>
  </si>
  <si>
    <t xml:space="preserve">Open RAID log (risks, assumptions, issues, dependencies)</t>
  </si>
  <si>
    <t xml:space="preserve">N</t>
  </si>
  <si>
    <t xml:space="preserve">Log live and reviewed at every standup</t>
  </si>
  <si>
    <t xml:space="preserve">1.1</t>
  </si>
  <si>
    <t xml:space="preserve">M1. Discovery &amp; Inventory</t>
  </si>
  <si>
    <t xml:space="preserve">Inventory System A: services, repos, infra, runtimes, versions</t>
  </si>
  <si>
    <t xml:space="preserve">Eng Lead A</t>
  </si>
  <si>
    <t xml:space="preserve">Single source-of-truth inventory sheet</t>
  </si>
  <si>
    <t xml:space="preserve">1.2</t>
  </si>
  <si>
    <t xml:space="preserve">Inventory System B: services, repos, infra, runtimes, versions</t>
  </si>
  <si>
    <t xml:space="preserve">Eng Lead B</t>
  </si>
  <si>
    <t xml:space="preserve">1.3</t>
  </si>
  <si>
    <t xml:space="preserve">Export both data models / ERDs plus row counts per entity</t>
  </si>
  <si>
    <t xml:space="preserve">Data Lead</t>
  </si>
  <si>
    <t xml:space="preserve">Entity list with volumes; feeds migration sizing</t>
  </si>
  <si>
    <t xml:space="preserve">1.4</t>
  </si>
  <si>
    <t xml:space="preserve">List all auth methods, IdPs, token and session mechanisms</t>
  </si>
  <si>
    <t xml:space="preserve">Security Lead</t>
  </si>
  <si>
    <t xml:space="preserve">Needed before any identity decision</t>
  </si>
  <si>
    <t xml:space="preserve">1.5</t>
  </si>
  <si>
    <t xml:space="preserve">Catalog public APIs, webhooks, SDKs and their active consumers</t>
  </si>
  <si>
    <t xml:space="preserve">API Owner</t>
  </si>
  <si>
    <t xml:space="preserve">Include call volumes per endpoint to rank what must survive</t>
  </si>
  <si>
    <t xml:space="preserve">1.6</t>
  </si>
  <si>
    <t xml:space="preserve">Catalog third-party integrations, vendors, licences, renewal dates</t>
  </si>
  <si>
    <t xml:space="preserve">Ops / Procurement</t>
  </si>
  <si>
    <t xml:space="preserve">Renewal dates drive the decommission notice periods</t>
  </si>
  <si>
    <t xml:space="preserve">1.7</t>
  </si>
  <si>
    <t xml:space="preserve">Map customer and tenant overlap (accounts present on both systems)</t>
  </si>
  <si>
    <t xml:space="preserve">CS Lead</t>
  </si>
  <si>
    <t xml:space="preserve">Overlap list drives dedup rules and pilot selection</t>
  </si>
  <si>
    <t xml:space="preserve">1.8</t>
  </si>
  <si>
    <t xml:space="preserve">Compile compliance obligations: SOC 2, ISO, GDPR, data residency</t>
  </si>
  <si>
    <t xml:space="preserve">Compliance</t>
  </si>
  <si>
    <t xml:space="preserve">Merged system is a new audit boundary</t>
  </si>
  <si>
    <t xml:space="preserve">1.9</t>
  </si>
  <si>
    <t xml:space="preserve">Write gap and overlap analysis; hold review session</t>
  </si>
  <si>
    <t xml:space="preserve">PM / Eng Leads</t>
  </si>
  <si>
    <t xml:space="preserve">GATE: discovery signed off before architecture decision</t>
  </si>
  <si>
    <t xml:space="preserve">1b.1</t>
  </si>
  <si>
    <t xml:space="preserve">M1b. Defect Triage &amp; Data Integrity</t>
  </si>
  <si>
    <t xml:space="preserve">Pull the full defect backlog from the broken system and de-duplicate it</t>
  </si>
  <si>
    <t xml:space="preserve">Eng Lead (broken sys)</t>
  </si>
  <si>
    <t xml:space="preserve">Include unlogged known issues; ask support, not just the tracker</t>
  </si>
  <si>
    <t xml:space="preserve">1b.2</t>
  </si>
  <si>
    <t xml:space="preserve">Confirm WHICH system is broken: the surviving one or the retiring one</t>
  </si>
  <si>
    <t xml:space="preserve">Exec Sponsor / Architect</t>
  </si>
  <si>
    <t xml:space="preserve">GATE: if the SURVIVING system is the broken one, stop and re-plan - see Legend tab</t>
  </si>
  <si>
    <t xml:space="preserve">1b.3</t>
  </si>
  <si>
    <t xml:space="preserve">Classify every defect: data-corrupting / behavioural / cosmetic</t>
  </si>
  <si>
    <t xml:space="preserve">Eng Lead + Data Lead</t>
  </si>
  <si>
    <t xml:space="preserve">Only the data-corrupting class threatens the merge</t>
  </si>
  <si>
    <t xml:space="preserve">1b.4</t>
  </si>
  <si>
    <t xml:space="preserve">Quantify the corruption blast radius: which entities, how many records</t>
  </si>
  <si>
    <t xml:space="preserve">Record counts per defect; this sizes the cleansing effort</t>
  </si>
  <si>
    <t xml:space="preserve">1b.5</t>
  </si>
  <si>
    <t xml:space="preserve">Decide fix vs retire per defect and freeze everything else</t>
  </si>
  <si>
    <t xml:space="preserve">Exec Sponsor / Eng Lead</t>
  </si>
  <si>
    <t xml:space="preserve">GATE: do NOT fix bugs in a system you are retiring unless they corrupt migrating data</t>
  </si>
  <si>
    <t xml:space="preserve">1b.6</t>
  </si>
  <si>
    <t xml:space="preserve">Run data-quality profiling: nulls, orphans, duplicates, broken FKs, out-of-range values</t>
  </si>
  <si>
    <t xml:space="preserve">Must finish BEFORE the ETL mapping spec is frozen (4.1)</t>
  </si>
  <si>
    <t xml:space="preserve">1b.7</t>
  </si>
  <si>
    <t xml:space="preserve">Fix only the data-corrupting defects; everything else stays broken</t>
  </si>
  <si>
    <t xml:space="preserve">Eng Team</t>
  </si>
  <si>
    <t xml:space="preserve">Stops the bleeding so migrated data does not keep degrading</t>
  </si>
  <si>
    <t xml:space="preserve">1b.8</t>
  </si>
  <si>
    <t xml:space="preserve">Write cleansing and quarantine rules for records that cannot be repaired</t>
  </si>
  <si>
    <t xml:space="preserve">Three buckets: repair, quarantine, leave behind</t>
  </si>
  <si>
    <t xml:space="preserve">1b.9</t>
  </si>
  <si>
    <t xml:space="preserve">Decide the policy for known-bad records: migrate, quarantine, or abandon</t>
  </si>
  <si>
    <t xml:space="preserve">Exec Sponsor / Legal</t>
  </si>
  <si>
    <t xml:space="preserve">Customer-visible; may need contractual or regulatory input</t>
  </si>
  <si>
    <t xml:space="preserve">1b.10</t>
  </si>
  <si>
    <t xml:space="preserve">Stabilisation gate: error rate flat for 3 consecutive days before dry runs</t>
  </si>
  <si>
    <t xml:space="preserve">Eng Lead</t>
  </si>
  <si>
    <t xml:space="preserve">GATE: migrating off a still-degrading system invalidates every dry run</t>
  </si>
  <si>
    <t xml:space="preserve">2.0</t>
  </si>
  <si>
    <t xml:space="preserve">M2. Target Architecture Decision</t>
  </si>
  <si>
    <t xml:space="preserve">Re-weight the architecture options against the defect profile</t>
  </si>
  <si>
    <t xml:space="preserve">Architect</t>
  </si>
  <si>
    <t xml:space="preserve">A badly broken system is a strong argument for absorb-and-retire over unify</t>
  </si>
  <si>
    <t xml:space="preserve">2.1</t>
  </si>
  <si>
    <t xml:space="preserve">Draft 2-3 architecture options with cost, risk and time estimates</t>
  </si>
  <si>
    <t xml:space="preserve">Absorb A into B / unify behind shared shell / rebuild</t>
  </si>
  <si>
    <t xml:space="preserve">2.2</t>
  </si>
  <si>
    <t xml:space="preserve">Run decision workshop and choose the strategy</t>
  </si>
  <si>
    <t xml:space="preserve">GATE: one option chosen, in writing, same day</t>
  </si>
  <si>
    <t xml:space="preserve">2.3</t>
  </si>
  <si>
    <t xml:space="preserve">Write ADR including sunset date for the retiring system</t>
  </si>
  <si>
    <t xml:space="preserve">Sunset date is a commitment, not an aspiration</t>
  </si>
  <si>
    <t xml:space="preserve">2.4</t>
  </si>
  <si>
    <t xml:space="preserve">Publish the 'will NOT unify by 1 Oct' scope list</t>
  </si>
  <si>
    <t xml:space="preserve">Primary defence against scope creep</t>
  </si>
  <si>
    <t xml:space="preserve">2.5</t>
  </si>
  <si>
    <t xml:space="preserve">Exec sponsor sign-off on architecture and scope</t>
  </si>
  <si>
    <t xml:space="preserve">GATE: build work does not start before this</t>
  </si>
  <si>
    <t xml:space="preserve">3.1</t>
  </si>
  <si>
    <t xml:space="preserve">M3. Identity &amp; Access Unification</t>
  </si>
  <si>
    <t xml:space="preserve">Choose the canonical identity provider</t>
  </si>
  <si>
    <t xml:space="preserve">Everything downstream depends on this</t>
  </si>
  <si>
    <t xml:space="preserve">3.2</t>
  </si>
  <si>
    <t xml:space="preserve">Define the unified user and org / tenant model</t>
  </si>
  <si>
    <t xml:space="preserve">Tenant model must cover customers on both systems</t>
  </si>
  <si>
    <t xml:space="preserve">3.3</t>
  </si>
  <si>
    <t xml:space="preserve">Map roles and permissions A to B and resolve conflicts</t>
  </si>
  <si>
    <t xml:space="preserve">Deliberately decide every case where A is more permissive than B</t>
  </si>
  <si>
    <t xml:space="preserve">3.4</t>
  </si>
  <si>
    <t xml:space="preserve">Define user dedup and merge rules (same email, different accounts)</t>
  </si>
  <si>
    <t xml:space="preserve">Covers same person, two orgs, and conflicting profile data</t>
  </si>
  <si>
    <t xml:space="preserve">3.5</t>
  </si>
  <si>
    <t xml:space="preserve">Implement SSO / token bridge between the two systems</t>
  </si>
  <si>
    <t xml:space="preserve">One login gets the user into both surfaces</t>
  </si>
  <si>
    <t xml:space="preserve">3.6</t>
  </si>
  <si>
    <t xml:space="preserve">Test login, session, permission enforcement and edge cases</t>
  </si>
  <si>
    <t xml:space="preserve">QA</t>
  </si>
  <si>
    <t xml:space="preserve">GATE: no privilege escalation across the merged boundary</t>
  </si>
  <si>
    <t xml:space="preserve">3.7</t>
  </si>
  <si>
    <t xml:space="preserve">Plan password / MFA re-enrolment comms for affected users</t>
  </si>
  <si>
    <t xml:space="preserve">Send before cutover, not after</t>
  </si>
  <si>
    <t xml:space="preserve">4.1</t>
  </si>
  <si>
    <t xml:space="preserve">M4. Data Model Mapping &amp; Migration</t>
  </si>
  <si>
    <t xml:space="preserve">Define canonical entities and field-level mapping spec</t>
  </si>
  <si>
    <t xml:space="preserve">GATE: cannot be frozen until data-quality profiling (1b.6) is done</t>
  </si>
  <si>
    <t xml:space="preserve">4.2</t>
  </si>
  <si>
    <t xml:space="preserve">Decide ID collision strategy (namespace / remap / new UUIDs)</t>
  </si>
  <si>
    <t xml:space="preserve">Keep a permanent old-ID to new-ID lookup table</t>
  </si>
  <si>
    <t xml:space="preserve">4.3</t>
  </si>
  <si>
    <t xml:space="preserve">Define dedup and conflict-resolution rules per entity</t>
  </si>
  <si>
    <t xml:space="preserve">A corrupted record must never win a conflict against a clean one</t>
  </si>
  <si>
    <t xml:space="preserve">4.4</t>
  </si>
  <si>
    <t xml:space="preserve">Build migration ETL scripts including cleansing transforms</t>
  </si>
  <si>
    <t xml:space="preserve">Must be idempotent and re-runnable</t>
  </si>
  <si>
    <t xml:space="preserve">4.5</t>
  </si>
  <si>
    <t xml:space="preserve">Build reconciliation suite: row counts, checksums, spot audits</t>
  </si>
  <si>
    <t xml:space="preserve">Must separate PRE-EXISTING corruption from loss caused by the migration</t>
  </si>
  <si>
    <t xml:space="preserve">4.6</t>
  </si>
  <si>
    <t xml:space="preserve">Dry run 1 against a production copy; log every failure</t>
  </si>
  <si>
    <t xml:space="preserve">Expect it to fail; that is the point</t>
  </si>
  <si>
    <t xml:space="preserve">4.7</t>
  </si>
  <si>
    <t xml:space="preserve">Fix defects and run dry run 2 until reconciliation passes clean</t>
  </si>
  <si>
    <t xml:space="preserve">GATE: zero unexplained record deltas</t>
  </si>
  <si>
    <t xml:space="preserve">4.8</t>
  </si>
  <si>
    <t xml:space="preserve">Timed rehearsal (dry run 3) to measure the real cutover window</t>
  </si>
  <si>
    <t xml:space="preserve">Gives the maintenance window you announce to customers</t>
  </si>
  <si>
    <t xml:space="preserve">4.9</t>
  </si>
  <si>
    <t xml:space="preserve">Write and actually test the rollback procedure</t>
  </si>
  <si>
    <t xml:space="preserve">Untested rollback is not a rollback</t>
  </si>
  <si>
    <t xml:space="preserve">4.10</t>
  </si>
  <si>
    <t xml:space="preserve">Schedule full-fleet migration waves (executed after 1 Oct)</t>
  </si>
  <si>
    <t xml:space="preserve">Out of scope for 1 Oct; scheduled, not executed</t>
  </si>
  <si>
    <t xml:space="preserve">5.1</t>
  </si>
  <si>
    <t xml:space="preserve">M5. Billing &amp; Subscription Consolidation</t>
  </si>
  <si>
    <t xml:space="preserve">Map all plans and SKUs A to B; flag orphan plans</t>
  </si>
  <si>
    <t xml:space="preserve">Finance / Product</t>
  </si>
  <si>
    <t xml:space="preserve">Long pole: this is legal and finance work, not just code</t>
  </si>
  <si>
    <t xml:space="preserve">5.2</t>
  </si>
  <si>
    <t xml:space="preserve">Decide grandfathering and proration policy</t>
  </si>
  <si>
    <t xml:space="preserve">Finance</t>
  </si>
  <si>
    <t xml:space="preserve">Decide before any customer is told anything</t>
  </si>
  <si>
    <t xml:space="preserve">5.3</t>
  </si>
  <si>
    <t xml:space="preserve">Legal review: contract amendments and notice periods required</t>
  </si>
  <si>
    <t xml:space="preserve">Legal</t>
  </si>
  <si>
    <t xml:space="preserve">Notice periods may hard-block your cutover date</t>
  </si>
  <si>
    <t xml:space="preserve">5.4</t>
  </si>
  <si>
    <t xml:space="preserve">Choose the single billing system of record</t>
  </si>
  <si>
    <t xml:space="preserve">One system issues invoices from cutover onward</t>
  </si>
  <si>
    <t xml:space="preserve">5.5</t>
  </si>
  <si>
    <t xml:space="preserve">Build subscription migration and proration logic</t>
  </si>
  <si>
    <t xml:space="preserve">Reuses the ID mapping from 4.2</t>
  </si>
  <si>
    <t xml:space="preserve">5.6</t>
  </si>
  <si>
    <t xml:space="preserve">Finance sign-off: revenue recognition, invoicing, tax treatment</t>
  </si>
  <si>
    <t xml:space="preserve">GATE: no cutover without this</t>
  </si>
  <si>
    <t xml:space="preserve">5.7</t>
  </si>
  <si>
    <t xml:space="preserve">Generate test invoices for the pilot cohort (dry run, no charges)</t>
  </si>
  <si>
    <t xml:space="preserve">Finance / Eng</t>
  </si>
  <si>
    <t xml:space="preserve">Compare against what each account paid last cycle</t>
  </si>
  <si>
    <t xml:space="preserve">6.1</t>
  </si>
  <si>
    <t xml:space="preserve">M6. API &amp; Integration Compatibility</t>
  </si>
  <si>
    <t xml:space="preserve">Decide the surviving API surface and versioning scheme</t>
  </si>
  <si>
    <t xml:space="preserve">Ranked by consumer call volume from 1.5</t>
  </si>
  <si>
    <t xml:space="preserve">6.2</t>
  </si>
  <si>
    <t xml:space="preserve">Publish the deprecation policy with concrete dates</t>
  </si>
  <si>
    <t xml:space="preserve">Customers need dates, not intentions</t>
  </si>
  <si>
    <t xml:space="preserve">6.3</t>
  </si>
  <si>
    <t xml:space="preserve">Build the compatibility shim for retired endpoints</t>
  </si>
  <si>
    <t xml:space="preserve">Buys time; avoids breaking integrations at cutover</t>
  </si>
  <si>
    <t xml:space="preserve">6.4</t>
  </si>
  <si>
    <t xml:space="preserve">Rebuild webhooks and event contracts</t>
  </si>
  <si>
    <t xml:space="preserve">Payload shape changes break silently; version them</t>
  </si>
  <si>
    <t xml:space="preserve">6.5</t>
  </si>
  <si>
    <t xml:space="preserve">Re-point third-party integrations and get partner confirmations</t>
  </si>
  <si>
    <t xml:space="preserve">Partnerships</t>
  </si>
  <si>
    <t xml:space="preserve">Partners have their own release cycles; start early</t>
  </si>
  <si>
    <t xml:space="preserve">6.6</t>
  </si>
  <si>
    <t xml:space="preserve">Send migration guide to all API consumers</t>
  </si>
  <si>
    <t xml:space="preserve">Include a working code example, not just a changelog</t>
  </si>
  <si>
    <t xml:space="preserve">7.1</t>
  </si>
  <si>
    <t xml:space="preserve">M7. Unified Experience</t>
  </si>
  <si>
    <t xml:space="preserve">Agree unified terminology and glossary (objects, plan names)</t>
  </si>
  <si>
    <t xml:space="preserve">Product</t>
  </si>
  <si>
    <t xml:space="preserve">Two names for one concept is the most visible merge smell</t>
  </si>
  <si>
    <t xml:space="preserve">7.2</t>
  </si>
  <si>
    <t xml:space="preserve">Deliver one login and a single entry point</t>
  </si>
  <si>
    <t xml:space="preserve">Minimum bar: customer does not feel they use two products</t>
  </si>
  <si>
    <t xml:space="preserve">7.3</t>
  </si>
  <si>
    <t xml:space="preserve">Merge navigation and app shell</t>
  </si>
  <si>
    <t xml:space="preserve">Full design-system convergence is post-1 Oct</t>
  </si>
  <si>
    <t xml:space="preserve">7.4</t>
  </si>
  <si>
    <t xml:space="preserve">Reconcile critical shared flows: onboarding, settings, billing UI</t>
  </si>
  <si>
    <t xml:space="preserve">Product / Eng</t>
  </si>
  <si>
    <t xml:space="preserve">Only the flows a pilot customer will hit this month</t>
  </si>
  <si>
    <t xml:space="preserve">7.5</t>
  </si>
  <si>
    <t xml:space="preserve">Update help docs, in-app guides, emails and status page</t>
  </si>
  <si>
    <t xml:space="preserve">Content / CS</t>
  </si>
  <si>
    <t xml:space="preserve">Stale docs generate the first wave of tickets</t>
  </si>
  <si>
    <t xml:space="preserve">7.6</t>
  </si>
  <si>
    <t xml:space="preserve">Accessibility and cross-browser pass on the merged shell</t>
  </si>
  <si>
    <t xml:space="preserve">Can slip past 1 Oct if the pilot cohort is small</t>
  </si>
  <si>
    <t xml:space="preserve">8.1</t>
  </si>
  <si>
    <t xml:space="preserve">M8. Infrastructure &amp; Operations Merge</t>
  </si>
  <si>
    <t xml:space="preserve">Decide hosting target and network / VPC topology</t>
  </si>
  <si>
    <t xml:space="preserve">Infra Lead</t>
  </si>
  <si>
    <t xml:space="preserve">Data residency from 1.8 constrains this</t>
  </si>
  <si>
    <t xml:space="preserve">8.2</t>
  </si>
  <si>
    <t xml:space="preserve">Merge CI/CD pipelines and secrets management</t>
  </si>
  <si>
    <t xml:space="preserve">One deploy path before you migrate any customer</t>
  </si>
  <si>
    <t xml:space="preserve">8.3</t>
  </si>
  <si>
    <t xml:space="preserve">Unify observability: logs, metrics, traces, alerting</t>
  </si>
  <si>
    <t xml:space="preserve">You cannot run hypercare blind</t>
  </si>
  <si>
    <t xml:space="preserve">8.4</t>
  </si>
  <si>
    <t xml:space="preserve">Establish a single on-call rota and incident runbook</t>
  </si>
  <si>
    <t xml:space="preserve">One rota, one pager, one severity scale</t>
  </si>
  <si>
    <t xml:space="preserve">8.5</t>
  </si>
  <si>
    <t xml:space="preserve">Security review of the new trust boundary; scope a pen test</t>
  </si>
  <si>
    <t xml:space="preserve">Full pen test almost certainly lands after 1 Oct</t>
  </si>
  <si>
    <t xml:space="preserve">8.6</t>
  </si>
  <si>
    <t xml:space="preserve">Update compliance scope: audit boundary, DPAs, subprocessor list</t>
  </si>
  <si>
    <t xml:space="preserve">Customers with DPAs may require advance notice</t>
  </si>
  <si>
    <t xml:space="preserve">8.7</t>
  </si>
  <si>
    <t xml:space="preserve">Capacity and load test the merged system</t>
  </si>
  <si>
    <t xml:space="preserve">Merged load is not the sum of two idle systems</t>
  </si>
  <si>
    <t xml:space="preserve">9.1</t>
  </si>
  <si>
    <t xml:space="preserve">M9. Phased Customer Migration (Pilot)</t>
  </si>
  <si>
    <t xml:space="preserve">Select the pilot cohort - exclude accounts with known corrupted data</t>
  </si>
  <si>
    <t xml:space="preserve">Small, engaged, clean data, no enterprise contract clauses</t>
  </si>
  <si>
    <t xml:space="preserve">9.2</t>
  </si>
  <si>
    <t xml:space="preserve">Enable support and CS: runbooks, FAQ, escalation path</t>
  </si>
  <si>
    <t xml:space="preserve">GATE: enablement lands BEFORE the first wave, not after</t>
  </si>
  <si>
    <t xml:space="preserve">9.3</t>
  </si>
  <si>
    <t xml:space="preserve">Send customer comms: advance notice, timing, what changes</t>
  </si>
  <si>
    <t xml:space="preserve">Marketing / CS</t>
  </si>
  <si>
    <t xml:space="preserve">Respect any contractual notice period from 5.3</t>
  </si>
  <si>
    <t xml:space="preserve">9.4</t>
  </si>
  <si>
    <t xml:space="preserve">Execute the pilot cutover</t>
  </si>
  <si>
    <t xml:space="preserve">GATE: go / no-go call the morning of, rollback armed</t>
  </si>
  <si>
    <t xml:space="preserve">9.5</t>
  </si>
  <si>
    <t xml:space="preserve">Hypercare monitoring: error rates, tickets, login success rate</t>
  </si>
  <si>
    <t xml:space="preserve">Eng / CS</t>
  </si>
  <si>
    <t xml:space="preserve">Pre-agreed thresholds that trigger rollback</t>
  </si>
  <si>
    <t xml:space="preserve">9.6</t>
  </si>
  <si>
    <t xml:space="preserve">Go / no-go review for wave 2; confirm remaining wave schedule</t>
  </si>
  <si>
    <t xml:space="preserve">GATE: 1 Oct deliverable is this decision, not a full merge</t>
  </si>
  <si>
    <t xml:space="preserve">10.1</t>
  </si>
  <si>
    <t xml:space="preserve">M10. Decommission (planning only by 1 Oct)</t>
  </si>
  <si>
    <t xml:space="preserve">Write legacy shutdown plan with data retention and archival policy</t>
  </si>
  <si>
    <t xml:space="preserve">Retention obligations from 1.8 apply</t>
  </si>
  <si>
    <t xml:space="preserve">10.2</t>
  </si>
  <si>
    <t xml:space="preserve">List vendor and licence terminations with their notice dates</t>
  </si>
  <si>
    <t xml:space="preserve">Procurement</t>
  </si>
  <si>
    <t xml:space="preserve">Miss a notice date and you auto-renew for a year</t>
  </si>
  <si>
    <t xml:space="preserve">10.3</t>
  </si>
  <si>
    <t xml:space="preserve">Baseline the expected cost saving and name an owner to track it</t>
  </si>
  <si>
    <t xml:space="preserve">Savings are not real until the old stack is off</t>
  </si>
  <si>
    <t xml:space="preserve">10.4</t>
  </si>
  <si>
    <t xml:space="preserve">Roadmap the out-of-scope items deferred past 1 Oct</t>
  </si>
  <si>
    <t xml:space="preserve">Closes the loop on the scope list from 2.4</t>
  </si>
  <si>
    <t xml:space="preserve">Milestone Rollup &amp; Programme Status</t>
  </si>
  <si>
    <t xml:space="preserve">Every figure below is a formula reading the 'Merge Plan' tab. Update the plan, not this sheet.</t>
  </si>
  <si>
    <t xml:space="preserve">Deadline</t>
  </si>
  <si>
    <t xml:space="preserve">Working days remaining (from today's date)</t>
  </si>
  <si>
    <t xml:space="preserve">Total tasks</t>
  </si>
  <si>
    <t xml:space="preserve">Tasks complete</t>
  </si>
  <si>
    <t xml:space="preserve">Tasks blocked</t>
  </si>
  <si>
    <t xml:space="preserve">Overall % complete</t>
  </si>
  <si>
    <t xml:space="preserve">Critical-path tasks still open</t>
  </si>
  <si>
    <t xml:space="preserve">Tasks</t>
  </si>
  <si>
    <t xml:space="preserve">Done</t>
  </si>
  <si>
    <t xml:space="preserve">Blocked</t>
  </si>
  <si>
    <t xml:space="preserve">Finish</t>
  </si>
  <si>
    <t xml:space="preserve">% Complete</t>
  </si>
  <si>
    <t xml:space="preserve">TOTAL</t>
  </si>
  <si>
    <t xml:space="preserve">How to use this workbook</t>
  </si>
  <si>
    <t xml:space="preserve">EDIT THESE COLUMNS on the 'Merge Plan' tab</t>
  </si>
  <si>
    <t xml:space="preserve">Owner, Start, End, Status, % Done - shown as blue text on a yellow fill.</t>
  </si>
  <si>
    <t xml:space="preserve">DO NOT EDIT</t>
  </si>
  <si>
    <t xml:space="preserve">Work Days is a NETWORKDAYS formula. The whole 'Milestone Summary' tab is formulas.</t>
  </si>
  <si>
    <t xml:space="preserve">Status values</t>
  </si>
  <si>
    <t xml:space="preserve">Not Started / In Progress / Blocked / Done / Deferred (dropdown on the Status column).</t>
  </si>
  <si>
    <t xml:space="preserve">Critical Path = Y</t>
  </si>
  <si>
    <t xml:space="preserve">Slipping this task slips the 1 Oct date. There are no spare days to absorb it.</t>
  </si>
  <si>
    <t xml:space="preserve">GATE in the Notes column</t>
  </si>
  <si>
    <t xml:space="preserve">A hard stop. Do not begin dependent work until that exit criterion is met.</t>
  </si>
  <si>
    <t xml:space="preserve">EXAMPLE ROW - this is the format expected in the editable columns</t>
  </si>
  <si>
    <t xml:space="preserve">A. Ben Salah</t>
  </si>
  <si>
    <t xml:space="preserve">In Progress</t>
  </si>
  <si>
    <t xml:space="preserve">Assumptions behind the dates</t>
  </si>
  <si>
    <t xml:space="preserve">- Start 8 Sep 2026 and deadline 1 Oct 2026 were both supplied by the user.</t>
  </si>
  <si>
    <t xml:space="preserve">- 18 working days are available in that window (weekends excluded, no public holidays assumed - adjust if Tunisian holidays apply).</t>
  </si>
  <si>
    <t xml:space="preserve">- This window is NOT enough to complete a full SaaS merge. Data migration and billing consolidation normally run for months.</t>
  </si>
  <si>
    <t xml:space="preserve">- The plan is therefore scoped to: discovery, architecture decision, identity unification, a tested and reconciled migration, and a PILOT cutover on 30 Sep.</t>
  </si>
  <si>
    <t xml:space="preserve">- The 1 Oct deliverable is milestone M9.6 - a go/no-go decision plus a signed wave schedule - not a fully migrated customer base.</t>
  </si>
  <si>
    <t xml:space="preserve">- Explicitly deferred past 1 Oct: full-fleet migration (4.10), complete design-system convergence (7.3), penetration testing (8.5), and legacy decommission (M10).</t>
  </si>
  <si>
    <t xml:space="preserve">- Owner names are role placeholders. Replace them with real people; one unnamed owner is the most common cause of slippage.</t>
  </si>
  <si>
    <t xml:space="preserve">- Task durations assume a dedicated team from both systems, not people fitting this around a normal roadmap.</t>
  </si>
  <si>
    <t xml:space="preserve">- Every milestone can be compressed except M4 (migration dry runs), M5.3 (legal notice periods) and M1b (defect stabilisation), which are bounded by reality rather than effort.</t>
  </si>
  <si>
    <t xml:space="preserve">- One of the two systems is reported as buggy (user-supplied). Milestone M1b was added for defect triage and data-integrity work, and the ETL mapping spec (4.1) now waits on data-quality profiling (1b.6).</t>
  </si>
  <si>
    <t xml:space="preserve">- M1b adds roughly a week of serial work in front of the migration. The pilot cutover on 30 Sep now has effectively zero float - see the Broken system guidance below.</t>
  </si>
  <si>
    <t xml:space="preserve">Broken system - decision guidance (M1b)</t>
  </si>
  <si>
    <t xml:space="preserve">QUESTION 1 - which system is broken?</t>
  </si>
  <si>
    <t xml:space="preserve">   If it is the RETIRING system: proceed with this plan. Fix almost nothing. Every hour spent on bugs in software you are deleting is an hour stolen from the migration.</t>
  </si>
  <si>
    <t xml:space="preserve">   If it is the SURVIVING system: stop and re-plan. Merging onto an unstable base means every migrated customer lands on broken software, and during hypercare you cannot tell merge defects from pre-existing ones. Stabilise first, then merge.</t>
  </si>
  <si>
    <t xml:space="preserve">QUESTION 2 - are the bugs behavioural or data-corrupting?</t>
  </si>
  <si>
    <t xml:space="preserve">   Behavioural (crashes, wrong output, broken UI): these die with the retired system. Log them, do not fix them.</t>
  </si>
  <si>
    <t xml:space="preserve">   Data-corrupting (orphans, broken foreign keys, duplicate entities, wrong values persisted): these MIGRATE. Once in the merged system they are permanent and expensive to unwind. Fix the source, then cleanse, then migrate.</t>
  </si>
  <si>
    <t xml:space="preserve">QUESTION 3 - is the corruption still spreading?</t>
  </si>
  <si>
    <t xml:space="preserve">   If the defect is still writing bad data, every dry run is invalidated the moment it finishes. Task 1b.10 is the gate: error rate flat for three consecutive days before dry run 1.</t>
  </si>
  <si>
    <t xml:space="preserve">The rule to hold onto: do not migrate data you cannot vouch for. Quarantining a bad record is recoverable. Silently importing it into the surviving system is not.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</si>
</sst>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d\ dd\-mmm"/>
    <numFmt numFmtId="166" formatCode="0%"/>
    <numFmt numFmtId="167" formatCode="ddd\ dd\-mmm\-yyyy"/>
    <numFmt numFmtId="168" formatCode="0"/>
    <numFmt numFmtId="169" formatCode="0.0%"/>
    <numFmt numFmtId="170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2"/>
      <color rgb="FFC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6EFCE"/>
      </patternFill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9E2F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ont>
        <name val="Arial"/>
        <charset val="1"/>
        <family val="0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color rgb="FF9C0006"/>
        <sz val="10"/>
      </font>
      <fill>
        <patternFill>
          <bgColor rgb="FFFFC7CE"/>
        </patternFill>
      </fill>
    </dxf>
    <dxf>
      <font>
        <name val="Arial"/>
        <charset val="1"/>
        <family val="0"/>
        <color rgb="FF9C5700"/>
        <sz val="10"/>
      </font>
      <fill>
        <patternFill>
          <bgColor rgb="FFFFEB9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56"/>
    <col collapsed="false" customWidth="true" hidden="false" outlineLevel="0" max="4" min="4" style="0" width="18"/>
    <col collapsed="false" customWidth="true" hidden="false" outlineLevel="0" max="6" min="5" style="0" width="13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8"/>
    <col collapsed="false" customWidth="true" hidden="false" outlineLevel="0" max="11" min="11" style="0" width="10"/>
    <col collapsed="false" customWidth="true" hidden="false" outlineLevel="0" max="12" min="12" style="0" width="5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5" hidden="false" customHeight="false" outlineLevel="0" collapsed="false">
      <c r="A5" s="4" t="s">
        <v>14</v>
      </c>
      <c r="B5" s="5" t="s">
        <v>15</v>
      </c>
      <c r="C5" s="6" t="s">
        <v>16</v>
      </c>
      <c r="D5" s="7" t="s">
        <v>17</v>
      </c>
      <c r="E5" s="8" t="n">
        <v>46273</v>
      </c>
      <c r="F5" s="8" t="n">
        <v>46273</v>
      </c>
      <c r="G5" s="4" t="n">
        <f aca="false">NETWORKDAYS(E5,F5)</f>
        <v>1</v>
      </c>
      <c r="H5" s="9"/>
      <c r="I5" s="7" t="s">
        <v>18</v>
      </c>
      <c r="J5" s="10" t="n">
        <v>0</v>
      </c>
      <c r="K5" s="4" t="s">
        <v>19</v>
      </c>
      <c r="L5" s="6" t="s">
        <v>20</v>
      </c>
    </row>
    <row r="6" customFormat="false" ht="15" hidden="false" customHeight="false" outlineLevel="0" collapsed="false">
      <c r="A6" s="11" t="s">
        <v>21</v>
      </c>
      <c r="B6" s="12" t="s">
        <v>15</v>
      </c>
      <c r="C6" s="13" t="s">
        <v>22</v>
      </c>
      <c r="D6" s="7" t="s">
        <v>23</v>
      </c>
      <c r="E6" s="8" t="n">
        <v>46273</v>
      </c>
      <c r="F6" s="8" t="n">
        <v>46273</v>
      </c>
      <c r="G6" s="11" t="n">
        <f aca="false">NETWORKDAYS(E6,F6)</f>
        <v>1</v>
      </c>
      <c r="H6" s="12" t="s">
        <v>14</v>
      </c>
      <c r="I6" s="7" t="s">
        <v>18</v>
      </c>
      <c r="J6" s="10" t="n">
        <v>0</v>
      </c>
      <c r="K6" s="11" t="s">
        <v>19</v>
      </c>
      <c r="L6" s="13" t="s">
        <v>24</v>
      </c>
    </row>
    <row r="7" customFormat="false" ht="15" hidden="false" customHeight="false" outlineLevel="0" collapsed="false">
      <c r="A7" s="11" t="s">
        <v>25</v>
      </c>
      <c r="B7" s="12" t="s">
        <v>15</v>
      </c>
      <c r="C7" s="13" t="s">
        <v>26</v>
      </c>
      <c r="D7" s="7" t="s">
        <v>27</v>
      </c>
      <c r="E7" s="8" t="n">
        <v>46273</v>
      </c>
      <c r="F7" s="8" t="n">
        <v>46274</v>
      </c>
      <c r="G7" s="11" t="n">
        <f aca="false">NETWORKDAYS(E7,F7)</f>
        <v>2</v>
      </c>
      <c r="H7" s="12" t="s">
        <v>14</v>
      </c>
      <c r="I7" s="7" t="s">
        <v>18</v>
      </c>
      <c r="J7" s="10" t="n">
        <v>0</v>
      </c>
      <c r="K7" s="11" t="s">
        <v>19</v>
      </c>
      <c r="L7" s="13" t="s">
        <v>28</v>
      </c>
    </row>
    <row r="8" customFormat="false" ht="15" hidden="false" customHeight="false" outlineLevel="0" collapsed="false">
      <c r="A8" s="11" t="s">
        <v>29</v>
      </c>
      <c r="B8" s="12" t="s">
        <v>15</v>
      </c>
      <c r="C8" s="13" t="s">
        <v>30</v>
      </c>
      <c r="D8" s="7" t="s">
        <v>31</v>
      </c>
      <c r="E8" s="8" t="n">
        <v>46274</v>
      </c>
      <c r="F8" s="8" t="n">
        <v>46274</v>
      </c>
      <c r="G8" s="11" t="n">
        <f aca="false">NETWORKDAYS(E8,F8)</f>
        <v>1</v>
      </c>
      <c r="H8" s="12" t="s">
        <v>25</v>
      </c>
      <c r="I8" s="7" t="s">
        <v>18</v>
      </c>
      <c r="J8" s="10" t="n">
        <v>0</v>
      </c>
      <c r="K8" s="11" t="s">
        <v>19</v>
      </c>
      <c r="L8" s="13" t="s">
        <v>32</v>
      </c>
    </row>
    <row r="9" customFormat="false" ht="15" hidden="false" customHeight="false" outlineLevel="0" collapsed="false">
      <c r="A9" s="11" t="s">
        <v>33</v>
      </c>
      <c r="B9" s="12" t="s">
        <v>15</v>
      </c>
      <c r="C9" s="13" t="s">
        <v>34</v>
      </c>
      <c r="D9" s="7" t="s">
        <v>23</v>
      </c>
      <c r="E9" s="8" t="n">
        <v>46274</v>
      </c>
      <c r="F9" s="8" t="n">
        <v>46274</v>
      </c>
      <c r="G9" s="11" t="n">
        <f aca="false">NETWORKDAYS(E9,F9)</f>
        <v>1</v>
      </c>
      <c r="H9" s="12" t="s">
        <v>21</v>
      </c>
      <c r="I9" s="7" t="s">
        <v>18</v>
      </c>
      <c r="J9" s="10" t="n">
        <v>0</v>
      </c>
      <c r="K9" s="11" t="s">
        <v>35</v>
      </c>
      <c r="L9" s="13" t="s">
        <v>36</v>
      </c>
    </row>
    <row r="10" customFormat="false" ht="15" hidden="false" customHeight="false" outlineLevel="0" collapsed="false">
      <c r="A10" s="4" t="s">
        <v>37</v>
      </c>
      <c r="B10" s="5" t="s">
        <v>38</v>
      </c>
      <c r="C10" s="6" t="s">
        <v>39</v>
      </c>
      <c r="D10" s="7" t="s">
        <v>40</v>
      </c>
      <c r="E10" s="8" t="n">
        <v>46273</v>
      </c>
      <c r="F10" s="8" t="n">
        <v>46275</v>
      </c>
      <c r="G10" s="4" t="n">
        <f aca="false">NETWORKDAYS(E10,F10)</f>
        <v>3</v>
      </c>
      <c r="H10" s="9" t="s">
        <v>21</v>
      </c>
      <c r="I10" s="7" t="s">
        <v>18</v>
      </c>
      <c r="J10" s="10" t="n">
        <v>0</v>
      </c>
      <c r="K10" s="4" t="s">
        <v>19</v>
      </c>
      <c r="L10" s="6" t="s">
        <v>41</v>
      </c>
    </row>
    <row r="11" customFormat="false" ht="15" hidden="false" customHeight="false" outlineLevel="0" collapsed="false">
      <c r="A11" s="11" t="s">
        <v>42</v>
      </c>
      <c r="B11" s="12" t="s">
        <v>38</v>
      </c>
      <c r="C11" s="13" t="s">
        <v>43</v>
      </c>
      <c r="D11" s="7" t="s">
        <v>44</v>
      </c>
      <c r="E11" s="8" t="n">
        <v>46273</v>
      </c>
      <c r="F11" s="8" t="n">
        <v>46275</v>
      </c>
      <c r="G11" s="11" t="n">
        <f aca="false">NETWORKDAYS(E11,F11)</f>
        <v>3</v>
      </c>
      <c r="H11" s="12" t="s">
        <v>21</v>
      </c>
      <c r="I11" s="7" t="s">
        <v>18</v>
      </c>
      <c r="J11" s="10" t="n">
        <v>0</v>
      </c>
      <c r="K11" s="11" t="s">
        <v>19</v>
      </c>
      <c r="L11" s="13" t="s">
        <v>41</v>
      </c>
    </row>
    <row r="12" customFormat="false" ht="15" hidden="false" customHeight="false" outlineLevel="0" collapsed="false">
      <c r="A12" s="11" t="s">
        <v>45</v>
      </c>
      <c r="B12" s="12" t="s">
        <v>38</v>
      </c>
      <c r="C12" s="13" t="s">
        <v>46</v>
      </c>
      <c r="D12" s="7" t="s">
        <v>47</v>
      </c>
      <c r="E12" s="8" t="n">
        <v>46273</v>
      </c>
      <c r="F12" s="8" t="n">
        <v>46275</v>
      </c>
      <c r="G12" s="11" t="n">
        <f aca="false">NETWORKDAYS(E12,F12)</f>
        <v>3</v>
      </c>
      <c r="H12" s="12"/>
      <c r="I12" s="7" t="s">
        <v>18</v>
      </c>
      <c r="J12" s="10" t="n">
        <v>0</v>
      </c>
      <c r="K12" s="11" t="s">
        <v>19</v>
      </c>
      <c r="L12" s="13" t="s">
        <v>48</v>
      </c>
    </row>
    <row r="13" customFormat="false" ht="15" hidden="false" customHeight="false" outlineLevel="0" collapsed="false">
      <c r="A13" s="11" t="s">
        <v>49</v>
      </c>
      <c r="B13" s="12" t="s">
        <v>38</v>
      </c>
      <c r="C13" s="13" t="s">
        <v>50</v>
      </c>
      <c r="D13" s="7" t="s">
        <v>51</v>
      </c>
      <c r="E13" s="8" t="n">
        <v>46274</v>
      </c>
      <c r="F13" s="8" t="n">
        <v>46275</v>
      </c>
      <c r="G13" s="11" t="n">
        <f aca="false">NETWORKDAYS(E13,F13)</f>
        <v>2</v>
      </c>
      <c r="H13" s="12"/>
      <c r="I13" s="7" t="s">
        <v>18</v>
      </c>
      <c r="J13" s="10" t="n">
        <v>0</v>
      </c>
      <c r="K13" s="11" t="s">
        <v>19</v>
      </c>
      <c r="L13" s="13" t="s">
        <v>52</v>
      </c>
    </row>
    <row r="14" customFormat="false" ht="15" hidden="false" customHeight="false" outlineLevel="0" collapsed="false">
      <c r="A14" s="11" t="s">
        <v>53</v>
      </c>
      <c r="B14" s="12" t="s">
        <v>38</v>
      </c>
      <c r="C14" s="13" t="s">
        <v>54</v>
      </c>
      <c r="D14" s="7" t="s">
        <v>55</v>
      </c>
      <c r="E14" s="8" t="n">
        <v>46274</v>
      </c>
      <c r="F14" s="8" t="n">
        <v>46276</v>
      </c>
      <c r="G14" s="11" t="n">
        <f aca="false">NETWORKDAYS(E14,F14)</f>
        <v>3</v>
      </c>
      <c r="H14" s="12"/>
      <c r="I14" s="7" t="s">
        <v>18</v>
      </c>
      <c r="J14" s="10" t="n">
        <v>0</v>
      </c>
      <c r="K14" s="11" t="s">
        <v>19</v>
      </c>
      <c r="L14" s="13" t="s">
        <v>56</v>
      </c>
    </row>
    <row r="15" customFormat="false" ht="15" hidden="false" customHeight="false" outlineLevel="0" collapsed="false">
      <c r="A15" s="11" t="s">
        <v>57</v>
      </c>
      <c r="B15" s="12" t="s">
        <v>38</v>
      </c>
      <c r="C15" s="13" t="s">
        <v>58</v>
      </c>
      <c r="D15" s="7" t="s">
        <v>59</v>
      </c>
      <c r="E15" s="8" t="n">
        <v>46274</v>
      </c>
      <c r="F15" s="8" t="n">
        <v>46276</v>
      </c>
      <c r="G15" s="11" t="n">
        <f aca="false">NETWORKDAYS(E15,F15)</f>
        <v>3</v>
      </c>
      <c r="H15" s="12"/>
      <c r="I15" s="7" t="s">
        <v>18</v>
      </c>
      <c r="J15" s="10" t="n">
        <v>0</v>
      </c>
      <c r="K15" s="11" t="s">
        <v>35</v>
      </c>
      <c r="L15" s="13" t="s">
        <v>60</v>
      </c>
    </row>
    <row r="16" customFormat="false" ht="23.85" hidden="false" customHeight="false" outlineLevel="0" collapsed="false">
      <c r="A16" s="11" t="s">
        <v>61</v>
      </c>
      <c r="B16" s="12" t="s">
        <v>38</v>
      </c>
      <c r="C16" s="13" t="s">
        <v>62</v>
      </c>
      <c r="D16" s="7" t="s">
        <v>63</v>
      </c>
      <c r="E16" s="8" t="n">
        <v>46274</v>
      </c>
      <c r="F16" s="8" t="n">
        <v>46276</v>
      </c>
      <c r="G16" s="11" t="n">
        <f aca="false">NETWORKDAYS(E16,F16)</f>
        <v>3</v>
      </c>
      <c r="H16" s="12" t="s">
        <v>45</v>
      </c>
      <c r="I16" s="7" t="s">
        <v>18</v>
      </c>
      <c r="J16" s="10" t="n">
        <v>0</v>
      </c>
      <c r="K16" s="11" t="s">
        <v>19</v>
      </c>
      <c r="L16" s="13" t="s">
        <v>64</v>
      </c>
    </row>
    <row r="17" customFormat="false" ht="15" hidden="false" customHeight="false" outlineLevel="0" collapsed="false">
      <c r="A17" s="11" t="s">
        <v>65</v>
      </c>
      <c r="B17" s="12" t="s">
        <v>38</v>
      </c>
      <c r="C17" s="13" t="s">
        <v>66</v>
      </c>
      <c r="D17" s="7" t="s">
        <v>67</v>
      </c>
      <c r="E17" s="8" t="n">
        <v>46275</v>
      </c>
      <c r="F17" s="8" t="n">
        <v>46276</v>
      </c>
      <c r="G17" s="11" t="n">
        <f aca="false">NETWORKDAYS(E17,F17)</f>
        <v>2</v>
      </c>
      <c r="H17" s="12"/>
      <c r="I17" s="7" t="s">
        <v>18</v>
      </c>
      <c r="J17" s="10" t="n">
        <v>0</v>
      </c>
      <c r="K17" s="11" t="s">
        <v>19</v>
      </c>
      <c r="L17" s="13" t="s">
        <v>68</v>
      </c>
    </row>
    <row r="18" customFormat="false" ht="15" hidden="false" customHeight="false" outlineLevel="0" collapsed="false">
      <c r="A18" s="11" t="s">
        <v>69</v>
      </c>
      <c r="B18" s="12" t="s">
        <v>38</v>
      </c>
      <c r="C18" s="13" t="s">
        <v>70</v>
      </c>
      <c r="D18" s="7" t="s">
        <v>71</v>
      </c>
      <c r="E18" s="8" t="n">
        <v>46276</v>
      </c>
      <c r="F18" s="8" t="n">
        <v>46276</v>
      </c>
      <c r="G18" s="11" t="n">
        <f aca="false">NETWORKDAYS(E18,F18)</f>
        <v>1</v>
      </c>
      <c r="H18" s="12" t="s">
        <v>37</v>
      </c>
      <c r="I18" s="7" t="s">
        <v>18</v>
      </c>
      <c r="J18" s="10" t="n">
        <v>0</v>
      </c>
      <c r="K18" s="11" t="s">
        <v>19</v>
      </c>
      <c r="L18" s="13" t="s">
        <v>72</v>
      </c>
    </row>
    <row r="19" customFormat="false" ht="23.85" hidden="false" customHeight="false" outlineLevel="0" collapsed="false">
      <c r="A19" s="4" t="s">
        <v>73</v>
      </c>
      <c r="B19" s="5" t="s">
        <v>74</v>
      </c>
      <c r="C19" s="6" t="s">
        <v>75</v>
      </c>
      <c r="D19" s="7" t="s">
        <v>76</v>
      </c>
      <c r="E19" s="8" t="n">
        <v>46274</v>
      </c>
      <c r="F19" s="8" t="n">
        <v>46275</v>
      </c>
      <c r="G19" s="4" t="n">
        <f aca="false">NETWORKDAYS(E19,F19)</f>
        <v>2</v>
      </c>
      <c r="H19" s="9" t="s">
        <v>21</v>
      </c>
      <c r="I19" s="7" t="s">
        <v>18</v>
      </c>
      <c r="J19" s="10" t="n">
        <v>0</v>
      </c>
      <c r="K19" s="4" t="s">
        <v>19</v>
      </c>
      <c r="L19" s="6" t="s">
        <v>77</v>
      </c>
    </row>
    <row r="20" customFormat="false" ht="23.85" hidden="false" customHeight="false" outlineLevel="0" collapsed="false">
      <c r="A20" s="11" t="s">
        <v>78</v>
      </c>
      <c r="B20" s="12" t="s">
        <v>74</v>
      </c>
      <c r="C20" s="13" t="s">
        <v>79</v>
      </c>
      <c r="D20" s="7" t="s">
        <v>80</v>
      </c>
      <c r="E20" s="8" t="n">
        <v>46274</v>
      </c>
      <c r="F20" s="8" t="n">
        <v>46274</v>
      </c>
      <c r="G20" s="11" t="n">
        <f aca="false">NETWORKDAYS(E20,F20)</f>
        <v>1</v>
      </c>
      <c r="H20" s="12" t="s">
        <v>73</v>
      </c>
      <c r="I20" s="7" t="s">
        <v>18</v>
      </c>
      <c r="J20" s="10" t="n">
        <v>0</v>
      </c>
      <c r="K20" s="11" t="s">
        <v>19</v>
      </c>
      <c r="L20" s="13" t="s">
        <v>81</v>
      </c>
    </row>
    <row r="21" customFormat="false" ht="15" hidden="false" customHeight="false" outlineLevel="0" collapsed="false">
      <c r="A21" s="11" t="s">
        <v>82</v>
      </c>
      <c r="B21" s="12" t="s">
        <v>74</v>
      </c>
      <c r="C21" s="13" t="s">
        <v>83</v>
      </c>
      <c r="D21" s="7" t="s">
        <v>84</v>
      </c>
      <c r="E21" s="8" t="n">
        <v>46275</v>
      </c>
      <c r="F21" s="8" t="n">
        <v>46279</v>
      </c>
      <c r="G21" s="11" t="n">
        <f aca="false">NETWORKDAYS(E21,F21)</f>
        <v>3</v>
      </c>
      <c r="H21" s="12" t="s">
        <v>73</v>
      </c>
      <c r="I21" s="7" t="s">
        <v>18</v>
      </c>
      <c r="J21" s="10" t="n">
        <v>0</v>
      </c>
      <c r="K21" s="11" t="s">
        <v>19</v>
      </c>
      <c r="L21" s="13" t="s">
        <v>85</v>
      </c>
    </row>
    <row r="22" customFormat="false" ht="23.85" hidden="false" customHeight="false" outlineLevel="0" collapsed="false">
      <c r="A22" s="11" t="s">
        <v>86</v>
      </c>
      <c r="B22" s="12" t="s">
        <v>74</v>
      </c>
      <c r="C22" s="13" t="s">
        <v>87</v>
      </c>
      <c r="D22" s="7" t="s">
        <v>47</v>
      </c>
      <c r="E22" s="8" t="n">
        <v>46276</v>
      </c>
      <c r="F22" s="8" t="n">
        <v>46281</v>
      </c>
      <c r="G22" s="11" t="n">
        <f aca="false">NETWORKDAYS(E22,F22)</f>
        <v>4</v>
      </c>
      <c r="H22" s="12" t="s">
        <v>82</v>
      </c>
      <c r="I22" s="7" t="s">
        <v>18</v>
      </c>
      <c r="J22" s="10" t="n">
        <v>0</v>
      </c>
      <c r="K22" s="11" t="s">
        <v>19</v>
      </c>
      <c r="L22" s="13" t="s">
        <v>88</v>
      </c>
    </row>
    <row r="23" customFormat="false" ht="23.85" hidden="false" customHeight="false" outlineLevel="0" collapsed="false">
      <c r="A23" s="11" t="s">
        <v>89</v>
      </c>
      <c r="B23" s="12" t="s">
        <v>74</v>
      </c>
      <c r="C23" s="13" t="s">
        <v>90</v>
      </c>
      <c r="D23" s="7" t="s">
        <v>91</v>
      </c>
      <c r="E23" s="8" t="n">
        <v>46280</v>
      </c>
      <c r="F23" s="8" t="n">
        <v>46280</v>
      </c>
      <c r="G23" s="11" t="n">
        <f aca="false">NETWORKDAYS(E23,F23)</f>
        <v>1</v>
      </c>
      <c r="H23" s="12" t="s">
        <v>86</v>
      </c>
      <c r="I23" s="7" t="s">
        <v>18</v>
      </c>
      <c r="J23" s="10" t="n">
        <v>0</v>
      </c>
      <c r="K23" s="11" t="s">
        <v>19</v>
      </c>
      <c r="L23" s="13" t="s">
        <v>92</v>
      </c>
    </row>
    <row r="24" customFormat="false" ht="23.85" hidden="false" customHeight="false" outlineLevel="0" collapsed="false">
      <c r="A24" s="11" t="s">
        <v>93</v>
      </c>
      <c r="B24" s="12" t="s">
        <v>74</v>
      </c>
      <c r="C24" s="13" t="s">
        <v>94</v>
      </c>
      <c r="D24" s="7" t="s">
        <v>47</v>
      </c>
      <c r="E24" s="8" t="n">
        <v>46276</v>
      </c>
      <c r="F24" s="8" t="n">
        <v>46282</v>
      </c>
      <c r="G24" s="11" t="n">
        <f aca="false">NETWORKDAYS(E24,F24)</f>
        <v>5</v>
      </c>
      <c r="H24" s="12" t="s">
        <v>45</v>
      </c>
      <c r="I24" s="7" t="s">
        <v>18</v>
      </c>
      <c r="J24" s="10" t="n">
        <v>0</v>
      </c>
      <c r="K24" s="11" t="s">
        <v>19</v>
      </c>
      <c r="L24" s="13" t="s">
        <v>95</v>
      </c>
    </row>
    <row r="25" customFormat="false" ht="15" hidden="false" customHeight="false" outlineLevel="0" collapsed="false">
      <c r="A25" s="11" t="s">
        <v>96</v>
      </c>
      <c r="B25" s="12" t="s">
        <v>74</v>
      </c>
      <c r="C25" s="13" t="s">
        <v>97</v>
      </c>
      <c r="D25" s="7" t="s">
        <v>98</v>
      </c>
      <c r="E25" s="8" t="n">
        <v>46281</v>
      </c>
      <c r="F25" s="8" t="n">
        <v>46288</v>
      </c>
      <c r="G25" s="11" t="n">
        <f aca="false">NETWORKDAYS(E25,F25)</f>
        <v>6</v>
      </c>
      <c r="H25" s="12" t="s">
        <v>89</v>
      </c>
      <c r="I25" s="7" t="s">
        <v>18</v>
      </c>
      <c r="J25" s="10" t="n">
        <v>0</v>
      </c>
      <c r="K25" s="11" t="s">
        <v>19</v>
      </c>
      <c r="L25" s="13" t="s">
        <v>99</v>
      </c>
    </row>
    <row r="26" customFormat="false" ht="23.85" hidden="false" customHeight="false" outlineLevel="0" collapsed="false">
      <c r="A26" s="11" t="s">
        <v>100</v>
      </c>
      <c r="B26" s="12" t="s">
        <v>74</v>
      </c>
      <c r="C26" s="13" t="s">
        <v>101</v>
      </c>
      <c r="D26" s="7" t="s">
        <v>47</v>
      </c>
      <c r="E26" s="8" t="n">
        <v>46282</v>
      </c>
      <c r="F26" s="8" t="n">
        <v>46288</v>
      </c>
      <c r="G26" s="11" t="n">
        <f aca="false">NETWORKDAYS(E26,F26)</f>
        <v>5</v>
      </c>
      <c r="H26" s="12" t="s">
        <v>93</v>
      </c>
      <c r="I26" s="7" t="s">
        <v>18</v>
      </c>
      <c r="J26" s="10" t="n">
        <v>0</v>
      </c>
      <c r="K26" s="11" t="s">
        <v>19</v>
      </c>
      <c r="L26" s="13" t="s">
        <v>102</v>
      </c>
    </row>
    <row r="27" customFormat="false" ht="23.85" hidden="false" customHeight="false" outlineLevel="0" collapsed="false">
      <c r="A27" s="11" t="s">
        <v>103</v>
      </c>
      <c r="B27" s="12" t="s">
        <v>74</v>
      </c>
      <c r="C27" s="13" t="s">
        <v>104</v>
      </c>
      <c r="D27" s="7" t="s">
        <v>105</v>
      </c>
      <c r="E27" s="8" t="n">
        <v>46286</v>
      </c>
      <c r="F27" s="8" t="n">
        <v>46288</v>
      </c>
      <c r="G27" s="11" t="n">
        <f aca="false">NETWORKDAYS(E27,F27)</f>
        <v>3</v>
      </c>
      <c r="H27" s="12" t="s">
        <v>100</v>
      </c>
      <c r="I27" s="7" t="s">
        <v>18</v>
      </c>
      <c r="J27" s="10" t="n">
        <v>0</v>
      </c>
      <c r="K27" s="11" t="s">
        <v>19</v>
      </c>
      <c r="L27" s="13" t="s">
        <v>106</v>
      </c>
    </row>
    <row r="28" customFormat="false" ht="23.85" hidden="false" customHeight="false" outlineLevel="0" collapsed="false">
      <c r="A28" s="11" t="s">
        <v>107</v>
      </c>
      <c r="B28" s="12" t="s">
        <v>74</v>
      </c>
      <c r="C28" s="13" t="s">
        <v>108</v>
      </c>
      <c r="D28" s="7" t="s">
        <v>109</v>
      </c>
      <c r="E28" s="8" t="n">
        <v>46288</v>
      </c>
      <c r="F28" s="8" t="n">
        <v>46289</v>
      </c>
      <c r="G28" s="11" t="n">
        <f aca="false">NETWORKDAYS(E28,F28)</f>
        <v>2</v>
      </c>
      <c r="H28" s="12" t="s">
        <v>96</v>
      </c>
      <c r="I28" s="7" t="s">
        <v>18</v>
      </c>
      <c r="J28" s="10" t="n">
        <v>0</v>
      </c>
      <c r="K28" s="11" t="s">
        <v>19</v>
      </c>
      <c r="L28" s="13" t="s">
        <v>110</v>
      </c>
    </row>
    <row r="29" customFormat="false" ht="23.85" hidden="false" customHeight="false" outlineLevel="0" collapsed="false">
      <c r="A29" s="4" t="s">
        <v>111</v>
      </c>
      <c r="B29" s="5" t="s">
        <v>112</v>
      </c>
      <c r="C29" s="6" t="s">
        <v>113</v>
      </c>
      <c r="D29" s="7" t="s">
        <v>114</v>
      </c>
      <c r="E29" s="8" t="n">
        <v>46279</v>
      </c>
      <c r="F29" s="8" t="n">
        <v>46279</v>
      </c>
      <c r="G29" s="4" t="n">
        <f aca="false">NETWORKDAYS(E29,F29)</f>
        <v>1</v>
      </c>
      <c r="H29" s="9" t="s">
        <v>82</v>
      </c>
      <c r="I29" s="7" t="s">
        <v>18</v>
      </c>
      <c r="J29" s="10" t="n">
        <v>0</v>
      </c>
      <c r="K29" s="4" t="s">
        <v>19</v>
      </c>
      <c r="L29" s="6" t="s">
        <v>115</v>
      </c>
    </row>
    <row r="30" customFormat="false" ht="15" hidden="false" customHeight="false" outlineLevel="0" collapsed="false">
      <c r="A30" s="11" t="s">
        <v>116</v>
      </c>
      <c r="B30" s="12" t="s">
        <v>112</v>
      </c>
      <c r="C30" s="13" t="s">
        <v>117</v>
      </c>
      <c r="D30" s="7" t="s">
        <v>114</v>
      </c>
      <c r="E30" s="8" t="n">
        <v>46275</v>
      </c>
      <c r="F30" s="8" t="n">
        <v>46276</v>
      </c>
      <c r="G30" s="11" t="n">
        <f aca="false">NETWORKDAYS(E30,F30)</f>
        <v>2</v>
      </c>
      <c r="H30" s="12" t="s">
        <v>69</v>
      </c>
      <c r="I30" s="7" t="s">
        <v>18</v>
      </c>
      <c r="J30" s="10" t="n">
        <v>0</v>
      </c>
      <c r="K30" s="11" t="s">
        <v>19</v>
      </c>
      <c r="L30" s="13" t="s">
        <v>118</v>
      </c>
    </row>
    <row r="31" customFormat="false" ht="15" hidden="false" customHeight="false" outlineLevel="0" collapsed="false">
      <c r="A31" s="11" t="s">
        <v>119</v>
      </c>
      <c r="B31" s="12" t="s">
        <v>112</v>
      </c>
      <c r="C31" s="13" t="s">
        <v>120</v>
      </c>
      <c r="D31" s="7" t="s">
        <v>17</v>
      </c>
      <c r="E31" s="8" t="n">
        <v>46279</v>
      </c>
      <c r="F31" s="8" t="n">
        <v>46279</v>
      </c>
      <c r="G31" s="11" t="n">
        <f aca="false">NETWORKDAYS(E31,F31)</f>
        <v>1</v>
      </c>
      <c r="H31" s="12" t="s">
        <v>111</v>
      </c>
      <c r="I31" s="7" t="s">
        <v>18</v>
      </c>
      <c r="J31" s="10" t="n">
        <v>0</v>
      </c>
      <c r="K31" s="11" t="s">
        <v>19</v>
      </c>
      <c r="L31" s="13" t="s">
        <v>121</v>
      </c>
    </row>
    <row r="32" customFormat="false" ht="15" hidden="false" customHeight="false" outlineLevel="0" collapsed="false">
      <c r="A32" s="11" t="s">
        <v>122</v>
      </c>
      <c r="B32" s="12" t="s">
        <v>112</v>
      </c>
      <c r="C32" s="13" t="s">
        <v>123</v>
      </c>
      <c r="D32" s="7" t="s">
        <v>114</v>
      </c>
      <c r="E32" s="8" t="n">
        <v>46279</v>
      </c>
      <c r="F32" s="8" t="n">
        <v>46279</v>
      </c>
      <c r="G32" s="11" t="n">
        <f aca="false">NETWORKDAYS(E32,F32)</f>
        <v>1</v>
      </c>
      <c r="H32" s="12" t="s">
        <v>119</v>
      </c>
      <c r="I32" s="7" t="s">
        <v>18</v>
      </c>
      <c r="J32" s="10" t="n">
        <v>0</v>
      </c>
      <c r="K32" s="11" t="s">
        <v>19</v>
      </c>
      <c r="L32" s="13" t="s">
        <v>124</v>
      </c>
    </row>
    <row r="33" customFormat="false" ht="15" hidden="false" customHeight="false" outlineLevel="0" collapsed="false">
      <c r="A33" s="11" t="s">
        <v>125</v>
      </c>
      <c r="B33" s="12" t="s">
        <v>112</v>
      </c>
      <c r="C33" s="13" t="s">
        <v>126</v>
      </c>
      <c r="D33" s="7" t="s">
        <v>23</v>
      </c>
      <c r="E33" s="8" t="n">
        <v>46279</v>
      </c>
      <c r="F33" s="8" t="n">
        <v>46279</v>
      </c>
      <c r="G33" s="11" t="n">
        <f aca="false">NETWORKDAYS(E33,F33)</f>
        <v>1</v>
      </c>
      <c r="H33" s="12" t="s">
        <v>119</v>
      </c>
      <c r="I33" s="7" t="s">
        <v>18</v>
      </c>
      <c r="J33" s="10" t="n">
        <v>0</v>
      </c>
      <c r="K33" s="11" t="s">
        <v>19</v>
      </c>
      <c r="L33" s="13" t="s">
        <v>127</v>
      </c>
    </row>
    <row r="34" customFormat="false" ht="15" hidden="false" customHeight="false" outlineLevel="0" collapsed="false">
      <c r="A34" s="11" t="s">
        <v>128</v>
      </c>
      <c r="B34" s="12" t="s">
        <v>112</v>
      </c>
      <c r="C34" s="13" t="s">
        <v>129</v>
      </c>
      <c r="D34" s="7" t="s">
        <v>17</v>
      </c>
      <c r="E34" s="8" t="n">
        <v>46279</v>
      </c>
      <c r="F34" s="8" t="n">
        <v>46279</v>
      </c>
      <c r="G34" s="11" t="n">
        <f aca="false">NETWORKDAYS(E34,F34)</f>
        <v>1</v>
      </c>
      <c r="H34" s="12" t="s">
        <v>122</v>
      </c>
      <c r="I34" s="7" t="s">
        <v>18</v>
      </c>
      <c r="J34" s="10" t="n">
        <v>0</v>
      </c>
      <c r="K34" s="11" t="s">
        <v>19</v>
      </c>
      <c r="L34" s="13" t="s">
        <v>130</v>
      </c>
    </row>
    <row r="35" customFormat="false" ht="15" hidden="false" customHeight="false" outlineLevel="0" collapsed="false">
      <c r="A35" s="4" t="s">
        <v>131</v>
      </c>
      <c r="B35" s="5" t="s">
        <v>132</v>
      </c>
      <c r="C35" s="6" t="s">
        <v>133</v>
      </c>
      <c r="D35" s="7" t="s">
        <v>51</v>
      </c>
      <c r="E35" s="8" t="n">
        <v>46280</v>
      </c>
      <c r="F35" s="8" t="n">
        <v>46280</v>
      </c>
      <c r="G35" s="4" t="n">
        <f aca="false">NETWORKDAYS(E35,F35)</f>
        <v>1</v>
      </c>
      <c r="H35" s="9" t="s">
        <v>128</v>
      </c>
      <c r="I35" s="7" t="s">
        <v>18</v>
      </c>
      <c r="J35" s="10" t="n">
        <v>0</v>
      </c>
      <c r="K35" s="4" t="s">
        <v>19</v>
      </c>
      <c r="L35" s="6" t="s">
        <v>134</v>
      </c>
    </row>
    <row r="36" customFormat="false" ht="15" hidden="false" customHeight="false" outlineLevel="0" collapsed="false">
      <c r="A36" s="11" t="s">
        <v>135</v>
      </c>
      <c r="B36" s="12" t="s">
        <v>132</v>
      </c>
      <c r="C36" s="13" t="s">
        <v>136</v>
      </c>
      <c r="D36" s="7" t="s">
        <v>114</v>
      </c>
      <c r="E36" s="8" t="n">
        <v>46280</v>
      </c>
      <c r="F36" s="8" t="n">
        <v>46281</v>
      </c>
      <c r="G36" s="11" t="n">
        <f aca="false">NETWORKDAYS(E36,F36)</f>
        <v>2</v>
      </c>
      <c r="H36" s="12" t="s">
        <v>131</v>
      </c>
      <c r="I36" s="7" t="s">
        <v>18</v>
      </c>
      <c r="J36" s="10" t="n">
        <v>0</v>
      </c>
      <c r="K36" s="11" t="s">
        <v>19</v>
      </c>
      <c r="L36" s="13" t="s">
        <v>137</v>
      </c>
    </row>
    <row r="37" customFormat="false" ht="15" hidden="false" customHeight="false" outlineLevel="0" collapsed="false">
      <c r="A37" s="11" t="s">
        <v>138</v>
      </c>
      <c r="B37" s="12" t="s">
        <v>132</v>
      </c>
      <c r="C37" s="13" t="s">
        <v>139</v>
      </c>
      <c r="D37" s="7" t="s">
        <v>51</v>
      </c>
      <c r="E37" s="8" t="n">
        <v>46281</v>
      </c>
      <c r="F37" s="8" t="n">
        <v>46282</v>
      </c>
      <c r="G37" s="11" t="n">
        <f aca="false">NETWORKDAYS(E37,F37)</f>
        <v>2</v>
      </c>
      <c r="H37" s="12" t="s">
        <v>135</v>
      </c>
      <c r="I37" s="7" t="s">
        <v>18</v>
      </c>
      <c r="J37" s="10" t="n">
        <v>0</v>
      </c>
      <c r="K37" s="11" t="s">
        <v>19</v>
      </c>
      <c r="L37" s="13" t="s">
        <v>140</v>
      </c>
    </row>
    <row r="38" customFormat="false" ht="15" hidden="false" customHeight="false" outlineLevel="0" collapsed="false">
      <c r="A38" s="11" t="s">
        <v>141</v>
      </c>
      <c r="B38" s="12" t="s">
        <v>132</v>
      </c>
      <c r="C38" s="13" t="s">
        <v>142</v>
      </c>
      <c r="D38" s="7" t="s">
        <v>47</v>
      </c>
      <c r="E38" s="8" t="n">
        <v>46281</v>
      </c>
      <c r="F38" s="8" t="n">
        <v>46283</v>
      </c>
      <c r="G38" s="11" t="n">
        <f aca="false">NETWORKDAYS(E38,F38)</f>
        <v>3</v>
      </c>
      <c r="H38" s="12" t="s">
        <v>135</v>
      </c>
      <c r="I38" s="7" t="s">
        <v>18</v>
      </c>
      <c r="J38" s="10" t="n">
        <v>0</v>
      </c>
      <c r="K38" s="11" t="s">
        <v>19</v>
      </c>
      <c r="L38" s="13" t="s">
        <v>143</v>
      </c>
    </row>
    <row r="39" customFormat="false" ht="15" hidden="false" customHeight="false" outlineLevel="0" collapsed="false">
      <c r="A39" s="11" t="s">
        <v>144</v>
      </c>
      <c r="B39" s="12" t="s">
        <v>132</v>
      </c>
      <c r="C39" s="13" t="s">
        <v>145</v>
      </c>
      <c r="D39" s="7" t="s">
        <v>98</v>
      </c>
      <c r="E39" s="8" t="n">
        <v>46282</v>
      </c>
      <c r="F39" s="8" t="n">
        <v>46288</v>
      </c>
      <c r="G39" s="11" t="n">
        <f aca="false">NETWORKDAYS(E39,F39)</f>
        <v>5</v>
      </c>
      <c r="H39" s="12" t="s">
        <v>138</v>
      </c>
      <c r="I39" s="7" t="s">
        <v>18</v>
      </c>
      <c r="J39" s="10" t="n">
        <v>0</v>
      </c>
      <c r="K39" s="11" t="s">
        <v>19</v>
      </c>
      <c r="L39" s="13" t="s">
        <v>146</v>
      </c>
    </row>
    <row r="40" customFormat="false" ht="15" hidden="false" customHeight="false" outlineLevel="0" collapsed="false">
      <c r="A40" s="11" t="s">
        <v>147</v>
      </c>
      <c r="B40" s="12" t="s">
        <v>132</v>
      </c>
      <c r="C40" s="13" t="s">
        <v>148</v>
      </c>
      <c r="D40" s="7" t="s">
        <v>149</v>
      </c>
      <c r="E40" s="8" t="n">
        <v>46287</v>
      </c>
      <c r="F40" s="8" t="n">
        <v>46289</v>
      </c>
      <c r="G40" s="11" t="n">
        <f aca="false">NETWORKDAYS(E40,F40)</f>
        <v>3</v>
      </c>
      <c r="H40" s="12" t="s">
        <v>144</v>
      </c>
      <c r="I40" s="7" t="s">
        <v>18</v>
      </c>
      <c r="J40" s="10" t="n">
        <v>0</v>
      </c>
      <c r="K40" s="11" t="s">
        <v>19</v>
      </c>
      <c r="L40" s="13" t="s">
        <v>150</v>
      </c>
    </row>
    <row r="41" customFormat="false" ht="15" hidden="false" customHeight="false" outlineLevel="0" collapsed="false">
      <c r="A41" s="11" t="s">
        <v>151</v>
      </c>
      <c r="B41" s="12" t="s">
        <v>132</v>
      </c>
      <c r="C41" s="13" t="s">
        <v>152</v>
      </c>
      <c r="D41" s="7" t="s">
        <v>63</v>
      </c>
      <c r="E41" s="8" t="n">
        <v>46288</v>
      </c>
      <c r="F41" s="8" t="n">
        <v>46289</v>
      </c>
      <c r="G41" s="11" t="n">
        <f aca="false">NETWORKDAYS(E41,F41)</f>
        <v>2</v>
      </c>
      <c r="H41" s="12" t="s">
        <v>144</v>
      </c>
      <c r="I41" s="7" t="s">
        <v>18</v>
      </c>
      <c r="J41" s="10" t="n">
        <v>0</v>
      </c>
      <c r="K41" s="11" t="s">
        <v>35</v>
      </c>
      <c r="L41" s="13" t="s">
        <v>153</v>
      </c>
    </row>
    <row r="42" customFormat="false" ht="15" hidden="false" customHeight="false" outlineLevel="0" collapsed="false">
      <c r="A42" s="4" t="s">
        <v>154</v>
      </c>
      <c r="B42" s="5" t="s">
        <v>155</v>
      </c>
      <c r="C42" s="6" t="s">
        <v>156</v>
      </c>
      <c r="D42" s="7" t="s">
        <v>47</v>
      </c>
      <c r="E42" s="8" t="n">
        <v>46282</v>
      </c>
      <c r="F42" s="8" t="n">
        <v>46284</v>
      </c>
      <c r="G42" s="4" t="n">
        <f aca="false">NETWORKDAYS(E42,F42)</f>
        <v>2</v>
      </c>
      <c r="H42" s="9" t="s">
        <v>93</v>
      </c>
      <c r="I42" s="7" t="s">
        <v>18</v>
      </c>
      <c r="J42" s="10" t="n">
        <v>0</v>
      </c>
      <c r="K42" s="4" t="s">
        <v>19</v>
      </c>
      <c r="L42" s="6" t="s">
        <v>157</v>
      </c>
    </row>
    <row r="43" customFormat="false" ht="15" hidden="false" customHeight="false" outlineLevel="0" collapsed="false">
      <c r="A43" s="11" t="s">
        <v>158</v>
      </c>
      <c r="B43" s="12" t="s">
        <v>155</v>
      </c>
      <c r="C43" s="13" t="s">
        <v>159</v>
      </c>
      <c r="D43" s="7" t="s">
        <v>114</v>
      </c>
      <c r="E43" s="8" t="n">
        <v>46280</v>
      </c>
      <c r="F43" s="8" t="n">
        <v>46281</v>
      </c>
      <c r="G43" s="11" t="n">
        <f aca="false">NETWORKDAYS(E43,F43)</f>
        <v>2</v>
      </c>
      <c r="H43" s="12" t="s">
        <v>154</v>
      </c>
      <c r="I43" s="7" t="s">
        <v>18</v>
      </c>
      <c r="J43" s="10" t="n">
        <v>0</v>
      </c>
      <c r="K43" s="11" t="s">
        <v>19</v>
      </c>
      <c r="L43" s="13" t="s">
        <v>160</v>
      </c>
    </row>
    <row r="44" customFormat="false" ht="15" hidden="false" customHeight="false" outlineLevel="0" collapsed="false">
      <c r="A44" s="11" t="s">
        <v>161</v>
      </c>
      <c r="B44" s="12" t="s">
        <v>155</v>
      </c>
      <c r="C44" s="13" t="s">
        <v>162</v>
      </c>
      <c r="D44" s="7" t="s">
        <v>47</v>
      </c>
      <c r="E44" s="8" t="n">
        <v>46284</v>
      </c>
      <c r="F44" s="8" t="n">
        <v>46286</v>
      </c>
      <c r="G44" s="11" t="n">
        <f aca="false">NETWORKDAYS(E44,F44)</f>
        <v>1</v>
      </c>
      <c r="H44" s="12" t="s">
        <v>100</v>
      </c>
      <c r="I44" s="7" t="s">
        <v>18</v>
      </c>
      <c r="J44" s="10" t="n">
        <v>0</v>
      </c>
      <c r="K44" s="11" t="s">
        <v>19</v>
      </c>
      <c r="L44" s="13" t="s">
        <v>163</v>
      </c>
    </row>
    <row r="45" customFormat="false" ht="15" hidden="false" customHeight="false" outlineLevel="0" collapsed="false">
      <c r="A45" s="11" t="s">
        <v>164</v>
      </c>
      <c r="B45" s="12" t="s">
        <v>155</v>
      </c>
      <c r="C45" s="13" t="s">
        <v>165</v>
      </c>
      <c r="D45" s="7" t="s">
        <v>98</v>
      </c>
      <c r="E45" s="8" t="n">
        <v>46284</v>
      </c>
      <c r="F45" s="8" t="n">
        <v>46289</v>
      </c>
      <c r="G45" s="11" t="n">
        <f aca="false">NETWORKDAYS(E45,F45)</f>
        <v>4</v>
      </c>
      <c r="H45" s="12" t="s">
        <v>154</v>
      </c>
      <c r="I45" s="7" t="s">
        <v>18</v>
      </c>
      <c r="J45" s="10" t="n">
        <v>0</v>
      </c>
      <c r="K45" s="11" t="s">
        <v>19</v>
      </c>
      <c r="L45" s="13" t="s">
        <v>166</v>
      </c>
    </row>
    <row r="46" customFormat="false" ht="23.85" hidden="false" customHeight="false" outlineLevel="0" collapsed="false">
      <c r="A46" s="11" t="s">
        <v>167</v>
      </c>
      <c r="B46" s="12" t="s">
        <v>155</v>
      </c>
      <c r="C46" s="13" t="s">
        <v>168</v>
      </c>
      <c r="D46" s="7" t="s">
        <v>47</v>
      </c>
      <c r="E46" s="8" t="n">
        <v>46283</v>
      </c>
      <c r="F46" s="8" t="n">
        <v>46289</v>
      </c>
      <c r="G46" s="11" t="n">
        <f aca="false">NETWORKDAYS(E46,F46)</f>
        <v>5</v>
      </c>
      <c r="H46" s="12" t="s">
        <v>164</v>
      </c>
      <c r="I46" s="7" t="s">
        <v>18</v>
      </c>
      <c r="J46" s="10" t="n">
        <v>0</v>
      </c>
      <c r="K46" s="11" t="s">
        <v>19</v>
      </c>
      <c r="L46" s="13" t="s">
        <v>169</v>
      </c>
    </row>
    <row r="47" customFormat="false" ht="15" hidden="false" customHeight="false" outlineLevel="0" collapsed="false">
      <c r="A47" s="11" t="s">
        <v>170</v>
      </c>
      <c r="B47" s="12" t="s">
        <v>155</v>
      </c>
      <c r="C47" s="13" t="s">
        <v>171</v>
      </c>
      <c r="D47" s="7" t="s">
        <v>98</v>
      </c>
      <c r="E47" s="8" t="n">
        <v>46289</v>
      </c>
      <c r="F47" s="8" t="n">
        <v>46290</v>
      </c>
      <c r="G47" s="11" t="n">
        <f aca="false">NETWORKDAYS(E47,F47)</f>
        <v>2</v>
      </c>
      <c r="H47" s="12" t="s">
        <v>167</v>
      </c>
      <c r="I47" s="7" t="s">
        <v>18</v>
      </c>
      <c r="J47" s="10" t="n">
        <v>0</v>
      </c>
      <c r="K47" s="11" t="s">
        <v>19</v>
      </c>
      <c r="L47" s="13" t="s">
        <v>172</v>
      </c>
    </row>
    <row r="48" customFormat="false" ht="15" hidden="false" customHeight="false" outlineLevel="0" collapsed="false">
      <c r="A48" s="11" t="s">
        <v>173</v>
      </c>
      <c r="B48" s="12" t="s">
        <v>155</v>
      </c>
      <c r="C48" s="13" t="s">
        <v>174</v>
      </c>
      <c r="D48" s="7" t="s">
        <v>98</v>
      </c>
      <c r="E48" s="8" t="n">
        <v>46290</v>
      </c>
      <c r="F48" s="8" t="n">
        <v>46293</v>
      </c>
      <c r="G48" s="11" t="n">
        <f aca="false">NETWORKDAYS(E48,F48)</f>
        <v>2</v>
      </c>
      <c r="H48" s="12" t="s">
        <v>170</v>
      </c>
      <c r="I48" s="7" t="s">
        <v>18</v>
      </c>
      <c r="J48" s="10" t="n">
        <v>0</v>
      </c>
      <c r="K48" s="11" t="s">
        <v>19</v>
      </c>
      <c r="L48" s="13" t="s">
        <v>175</v>
      </c>
    </row>
    <row r="49" customFormat="false" ht="15" hidden="false" customHeight="false" outlineLevel="0" collapsed="false">
      <c r="A49" s="11" t="s">
        <v>176</v>
      </c>
      <c r="B49" s="12" t="s">
        <v>155</v>
      </c>
      <c r="C49" s="13" t="s">
        <v>177</v>
      </c>
      <c r="D49" s="7" t="s">
        <v>98</v>
      </c>
      <c r="E49" s="8" t="n">
        <v>46293</v>
      </c>
      <c r="F49" s="8" t="n">
        <v>46294</v>
      </c>
      <c r="G49" s="11" t="n">
        <f aca="false">NETWORKDAYS(E49,F49)</f>
        <v>2</v>
      </c>
      <c r="H49" s="12" t="s">
        <v>173</v>
      </c>
      <c r="I49" s="7" t="s">
        <v>18</v>
      </c>
      <c r="J49" s="10" t="n">
        <v>0</v>
      </c>
      <c r="K49" s="11" t="s">
        <v>19</v>
      </c>
      <c r="L49" s="13" t="s">
        <v>178</v>
      </c>
    </row>
    <row r="50" customFormat="false" ht="15" hidden="false" customHeight="false" outlineLevel="0" collapsed="false">
      <c r="A50" s="11" t="s">
        <v>179</v>
      </c>
      <c r="B50" s="12" t="s">
        <v>155</v>
      </c>
      <c r="C50" s="13" t="s">
        <v>180</v>
      </c>
      <c r="D50" s="7" t="s">
        <v>109</v>
      </c>
      <c r="E50" s="8" t="n">
        <v>46293</v>
      </c>
      <c r="F50" s="8" t="n">
        <v>46294</v>
      </c>
      <c r="G50" s="11" t="n">
        <f aca="false">NETWORKDAYS(E50,F50)</f>
        <v>2</v>
      </c>
      <c r="H50" s="12" t="s">
        <v>173</v>
      </c>
      <c r="I50" s="7" t="s">
        <v>18</v>
      </c>
      <c r="J50" s="10" t="n">
        <v>0</v>
      </c>
      <c r="K50" s="11" t="s">
        <v>19</v>
      </c>
      <c r="L50" s="13" t="s">
        <v>181</v>
      </c>
    </row>
    <row r="51" customFormat="false" ht="15" hidden="false" customHeight="false" outlineLevel="0" collapsed="false">
      <c r="A51" s="11" t="s">
        <v>182</v>
      </c>
      <c r="B51" s="12" t="s">
        <v>155</v>
      </c>
      <c r="C51" s="13" t="s">
        <v>183</v>
      </c>
      <c r="D51" s="7" t="s">
        <v>23</v>
      </c>
      <c r="E51" s="8" t="n">
        <v>46294</v>
      </c>
      <c r="F51" s="8" t="n">
        <v>46295</v>
      </c>
      <c r="G51" s="11" t="n">
        <f aca="false">NETWORKDAYS(E51,F51)</f>
        <v>2</v>
      </c>
      <c r="H51" s="12" t="s">
        <v>176</v>
      </c>
      <c r="I51" s="7" t="s">
        <v>18</v>
      </c>
      <c r="J51" s="10" t="n">
        <v>0</v>
      </c>
      <c r="K51" s="11" t="s">
        <v>35</v>
      </c>
      <c r="L51" s="13" t="s">
        <v>184</v>
      </c>
    </row>
    <row r="52" customFormat="false" ht="15" hidden="false" customHeight="false" outlineLevel="0" collapsed="false">
      <c r="A52" s="4" t="s">
        <v>185</v>
      </c>
      <c r="B52" s="5" t="s">
        <v>186</v>
      </c>
      <c r="C52" s="6" t="s">
        <v>187</v>
      </c>
      <c r="D52" s="7" t="s">
        <v>188</v>
      </c>
      <c r="E52" s="8" t="n">
        <v>46280</v>
      </c>
      <c r="F52" s="8" t="n">
        <v>46282</v>
      </c>
      <c r="G52" s="4" t="n">
        <f aca="false">NETWORKDAYS(E52,F52)</f>
        <v>3</v>
      </c>
      <c r="H52" s="9" t="s">
        <v>128</v>
      </c>
      <c r="I52" s="7" t="s">
        <v>18</v>
      </c>
      <c r="J52" s="10" t="n">
        <v>0</v>
      </c>
      <c r="K52" s="4" t="s">
        <v>19</v>
      </c>
      <c r="L52" s="6" t="s">
        <v>189</v>
      </c>
    </row>
    <row r="53" customFormat="false" ht="15" hidden="false" customHeight="false" outlineLevel="0" collapsed="false">
      <c r="A53" s="11" t="s">
        <v>190</v>
      </c>
      <c r="B53" s="12" t="s">
        <v>186</v>
      </c>
      <c r="C53" s="13" t="s">
        <v>191</v>
      </c>
      <c r="D53" s="7" t="s">
        <v>192</v>
      </c>
      <c r="E53" s="8" t="n">
        <v>46282</v>
      </c>
      <c r="F53" s="8" t="n">
        <v>46283</v>
      </c>
      <c r="G53" s="11" t="n">
        <f aca="false">NETWORKDAYS(E53,F53)</f>
        <v>2</v>
      </c>
      <c r="H53" s="12" t="s">
        <v>185</v>
      </c>
      <c r="I53" s="7" t="s">
        <v>18</v>
      </c>
      <c r="J53" s="10" t="n">
        <v>0</v>
      </c>
      <c r="K53" s="11" t="s">
        <v>19</v>
      </c>
      <c r="L53" s="13" t="s">
        <v>193</v>
      </c>
    </row>
    <row r="54" customFormat="false" ht="15" hidden="false" customHeight="false" outlineLevel="0" collapsed="false">
      <c r="A54" s="11" t="s">
        <v>194</v>
      </c>
      <c r="B54" s="12" t="s">
        <v>186</v>
      </c>
      <c r="C54" s="13" t="s">
        <v>195</v>
      </c>
      <c r="D54" s="7" t="s">
        <v>196</v>
      </c>
      <c r="E54" s="8" t="n">
        <v>46282</v>
      </c>
      <c r="F54" s="8" t="n">
        <v>46288</v>
      </c>
      <c r="G54" s="11" t="n">
        <f aca="false">NETWORKDAYS(E54,F54)</f>
        <v>5</v>
      </c>
      <c r="H54" s="12" t="s">
        <v>185</v>
      </c>
      <c r="I54" s="7" t="s">
        <v>18</v>
      </c>
      <c r="J54" s="10" t="n">
        <v>0</v>
      </c>
      <c r="K54" s="11" t="s">
        <v>19</v>
      </c>
      <c r="L54" s="13" t="s">
        <v>197</v>
      </c>
    </row>
    <row r="55" customFormat="false" ht="15" hidden="false" customHeight="false" outlineLevel="0" collapsed="false">
      <c r="A55" s="11" t="s">
        <v>198</v>
      </c>
      <c r="B55" s="12" t="s">
        <v>186</v>
      </c>
      <c r="C55" s="13" t="s">
        <v>199</v>
      </c>
      <c r="D55" s="7" t="s">
        <v>192</v>
      </c>
      <c r="E55" s="8" t="n">
        <v>46283</v>
      </c>
      <c r="F55" s="8" t="n">
        <v>46283</v>
      </c>
      <c r="G55" s="11" t="n">
        <f aca="false">NETWORKDAYS(E55,F55)</f>
        <v>1</v>
      </c>
      <c r="H55" s="12" t="s">
        <v>185</v>
      </c>
      <c r="I55" s="7" t="s">
        <v>18</v>
      </c>
      <c r="J55" s="10" t="n">
        <v>0</v>
      </c>
      <c r="K55" s="11" t="s">
        <v>19</v>
      </c>
      <c r="L55" s="13" t="s">
        <v>200</v>
      </c>
    </row>
    <row r="56" customFormat="false" ht="15" hidden="false" customHeight="false" outlineLevel="0" collapsed="false">
      <c r="A56" s="11" t="s">
        <v>201</v>
      </c>
      <c r="B56" s="12" t="s">
        <v>186</v>
      </c>
      <c r="C56" s="13" t="s">
        <v>202</v>
      </c>
      <c r="D56" s="7" t="s">
        <v>98</v>
      </c>
      <c r="E56" s="8" t="n">
        <v>46286</v>
      </c>
      <c r="F56" s="8" t="n">
        <v>46294</v>
      </c>
      <c r="G56" s="11" t="n">
        <f aca="false">NETWORKDAYS(E56,F56)</f>
        <v>7</v>
      </c>
      <c r="H56" s="12" t="s">
        <v>198</v>
      </c>
      <c r="I56" s="7" t="s">
        <v>18</v>
      </c>
      <c r="J56" s="10" t="n">
        <v>0</v>
      </c>
      <c r="K56" s="11" t="s">
        <v>19</v>
      </c>
      <c r="L56" s="13" t="s">
        <v>203</v>
      </c>
    </row>
    <row r="57" customFormat="false" ht="15" hidden="false" customHeight="false" outlineLevel="0" collapsed="false">
      <c r="A57" s="11" t="s">
        <v>204</v>
      </c>
      <c r="B57" s="12" t="s">
        <v>186</v>
      </c>
      <c r="C57" s="13" t="s">
        <v>205</v>
      </c>
      <c r="D57" s="7" t="s">
        <v>192</v>
      </c>
      <c r="E57" s="8" t="n">
        <v>46293</v>
      </c>
      <c r="F57" s="8" t="n">
        <v>46295</v>
      </c>
      <c r="G57" s="11" t="n">
        <f aca="false">NETWORKDAYS(E57,F57)</f>
        <v>3</v>
      </c>
      <c r="H57" s="12" t="s">
        <v>201</v>
      </c>
      <c r="I57" s="7" t="s">
        <v>18</v>
      </c>
      <c r="J57" s="10" t="n">
        <v>0</v>
      </c>
      <c r="K57" s="11" t="s">
        <v>19</v>
      </c>
      <c r="L57" s="13" t="s">
        <v>206</v>
      </c>
    </row>
    <row r="58" customFormat="false" ht="15" hidden="false" customHeight="false" outlineLevel="0" collapsed="false">
      <c r="A58" s="11" t="s">
        <v>207</v>
      </c>
      <c r="B58" s="12" t="s">
        <v>186</v>
      </c>
      <c r="C58" s="13" t="s">
        <v>208</v>
      </c>
      <c r="D58" s="7" t="s">
        <v>209</v>
      </c>
      <c r="E58" s="8" t="n">
        <v>46294</v>
      </c>
      <c r="F58" s="8" t="n">
        <v>46295</v>
      </c>
      <c r="G58" s="11" t="n">
        <f aca="false">NETWORKDAYS(E58,F58)</f>
        <v>2</v>
      </c>
      <c r="H58" s="12" t="s">
        <v>201</v>
      </c>
      <c r="I58" s="7" t="s">
        <v>18</v>
      </c>
      <c r="J58" s="10" t="n">
        <v>0</v>
      </c>
      <c r="K58" s="11" t="s">
        <v>19</v>
      </c>
      <c r="L58" s="13" t="s">
        <v>210</v>
      </c>
    </row>
    <row r="59" customFormat="false" ht="15" hidden="false" customHeight="false" outlineLevel="0" collapsed="false">
      <c r="A59" s="4" t="s">
        <v>211</v>
      </c>
      <c r="B59" s="5" t="s">
        <v>212</v>
      </c>
      <c r="C59" s="6" t="s">
        <v>213</v>
      </c>
      <c r="D59" s="7" t="s">
        <v>55</v>
      </c>
      <c r="E59" s="8" t="n">
        <v>46281</v>
      </c>
      <c r="F59" s="8" t="n">
        <v>46282</v>
      </c>
      <c r="G59" s="4" t="n">
        <f aca="false">NETWORKDAYS(E59,F59)</f>
        <v>2</v>
      </c>
      <c r="H59" s="9" t="s">
        <v>128</v>
      </c>
      <c r="I59" s="7" t="s">
        <v>18</v>
      </c>
      <c r="J59" s="10" t="n">
        <v>0</v>
      </c>
      <c r="K59" s="4" t="s">
        <v>19</v>
      </c>
      <c r="L59" s="6" t="s">
        <v>214</v>
      </c>
    </row>
    <row r="60" customFormat="false" ht="15" hidden="false" customHeight="false" outlineLevel="0" collapsed="false">
      <c r="A60" s="11" t="s">
        <v>215</v>
      </c>
      <c r="B60" s="12" t="s">
        <v>212</v>
      </c>
      <c r="C60" s="13" t="s">
        <v>216</v>
      </c>
      <c r="D60" s="7" t="s">
        <v>55</v>
      </c>
      <c r="E60" s="8" t="n">
        <v>46282</v>
      </c>
      <c r="F60" s="8" t="n">
        <v>46283</v>
      </c>
      <c r="G60" s="11" t="n">
        <f aca="false">NETWORKDAYS(E60,F60)</f>
        <v>2</v>
      </c>
      <c r="H60" s="12" t="s">
        <v>211</v>
      </c>
      <c r="I60" s="7" t="s">
        <v>18</v>
      </c>
      <c r="J60" s="10" t="n">
        <v>0</v>
      </c>
      <c r="K60" s="11" t="s">
        <v>19</v>
      </c>
      <c r="L60" s="13" t="s">
        <v>217</v>
      </c>
    </row>
    <row r="61" customFormat="false" ht="15" hidden="false" customHeight="false" outlineLevel="0" collapsed="false">
      <c r="A61" s="11" t="s">
        <v>218</v>
      </c>
      <c r="B61" s="12" t="s">
        <v>212</v>
      </c>
      <c r="C61" s="13" t="s">
        <v>219</v>
      </c>
      <c r="D61" s="7" t="s">
        <v>98</v>
      </c>
      <c r="E61" s="8" t="n">
        <v>46283</v>
      </c>
      <c r="F61" s="8" t="n">
        <v>46290</v>
      </c>
      <c r="G61" s="11" t="n">
        <f aca="false">NETWORKDAYS(E61,F61)</f>
        <v>6</v>
      </c>
      <c r="H61" s="12" t="s">
        <v>211</v>
      </c>
      <c r="I61" s="7" t="s">
        <v>18</v>
      </c>
      <c r="J61" s="10" t="n">
        <v>0</v>
      </c>
      <c r="K61" s="11" t="s">
        <v>19</v>
      </c>
      <c r="L61" s="13" t="s">
        <v>220</v>
      </c>
    </row>
    <row r="62" customFormat="false" ht="15" hidden="false" customHeight="false" outlineLevel="0" collapsed="false">
      <c r="A62" s="11" t="s">
        <v>221</v>
      </c>
      <c r="B62" s="12" t="s">
        <v>212</v>
      </c>
      <c r="C62" s="13" t="s">
        <v>222</v>
      </c>
      <c r="D62" s="7" t="s">
        <v>98</v>
      </c>
      <c r="E62" s="8" t="n">
        <v>46286</v>
      </c>
      <c r="F62" s="8" t="n">
        <v>46290</v>
      </c>
      <c r="G62" s="11" t="n">
        <f aca="false">NETWORKDAYS(E62,F62)</f>
        <v>5</v>
      </c>
      <c r="H62" s="12" t="s">
        <v>211</v>
      </c>
      <c r="I62" s="7" t="s">
        <v>18</v>
      </c>
      <c r="J62" s="10" t="n">
        <v>0</v>
      </c>
      <c r="K62" s="11" t="s">
        <v>19</v>
      </c>
      <c r="L62" s="13" t="s">
        <v>223</v>
      </c>
    </row>
    <row r="63" customFormat="false" ht="15" hidden="false" customHeight="false" outlineLevel="0" collapsed="false">
      <c r="A63" s="11" t="s">
        <v>224</v>
      </c>
      <c r="B63" s="12" t="s">
        <v>212</v>
      </c>
      <c r="C63" s="13" t="s">
        <v>225</v>
      </c>
      <c r="D63" s="7" t="s">
        <v>226</v>
      </c>
      <c r="E63" s="8" t="n">
        <v>46287</v>
      </c>
      <c r="F63" s="8" t="n">
        <v>46294</v>
      </c>
      <c r="G63" s="11" t="n">
        <f aca="false">NETWORKDAYS(E63,F63)</f>
        <v>6</v>
      </c>
      <c r="H63" s="12" t="s">
        <v>218</v>
      </c>
      <c r="I63" s="7" t="s">
        <v>18</v>
      </c>
      <c r="J63" s="10" t="n">
        <v>0</v>
      </c>
      <c r="K63" s="11" t="s">
        <v>19</v>
      </c>
      <c r="L63" s="13" t="s">
        <v>227</v>
      </c>
    </row>
    <row r="64" customFormat="false" ht="15" hidden="false" customHeight="false" outlineLevel="0" collapsed="false">
      <c r="A64" s="11" t="s">
        <v>228</v>
      </c>
      <c r="B64" s="12" t="s">
        <v>212</v>
      </c>
      <c r="C64" s="13" t="s">
        <v>229</v>
      </c>
      <c r="D64" s="7" t="s">
        <v>55</v>
      </c>
      <c r="E64" s="8" t="n">
        <v>46288</v>
      </c>
      <c r="F64" s="8" t="n">
        <v>46290</v>
      </c>
      <c r="G64" s="11" t="n">
        <f aca="false">NETWORKDAYS(E64,F64)</f>
        <v>3</v>
      </c>
      <c r="H64" s="12" t="s">
        <v>215</v>
      </c>
      <c r="I64" s="7" t="s">
        <v>18</v>
      </c>
      <c r="J64" s="10" t="n">
        <v>0</v>
      </c>
      <c r="K64" s="11" t="s">
        <v>35</v>
      </c>
      <c r="L64" s="13" t="s">
        <v>230</v>
      </c>
    </row>
    <row r="65" customFormat="false" ht="15" hidden="false" customHeight="false" outlineLevel="0" collapsed="false">
      <c r="A65" s="4" t="s">
        <v>231</v>
      </c>
      <c r="B65" s="5" t="s">
        <v>232</v>
      </c>
      <c r="C65" s="6" t="s">
        <v>233</v>
      </c>
      <c r="D65" s="7" t="s">
        <v>234</v>
      </c>
      <c r="E65" s="8" t="n">
        <v>46282</v>
      </c>
      <c r="F65" s="8" t="n">
        <v>46283</v>
      </c>
      <c r="G65" s="4" t="n">
        <f aca="false">NETWORKDAYS(E65,F65)</f>
        <v>2</v>
      </c>
      <c r="H65" s="9" t="s">
        <v>128</v>
      </c>
      <c r="I65" s="7" t="s">
        <v>18</v>
      </c>
      <c r="J65" s="10" t="n">
        <v>0</v>
      </c>
      <c r="K65" s="4" t="s">
        <v>35</v>
      </c>
      <c r="L65" s="6" t="s">
        <v>235</v>
      </c>
    </row>
    <row r="66" customFormat="false" ht="15" hidden="false" customHeight="false" outlineLevel="0" collapsed="false">
      <c r="A66" s="11" t="s">
        <v>236</v>
      </c>
      <c r="B66" s="12" t="s">
        <v>232</v>
      </c>
      <c r="C66" s="13" t="s">
        <v>237</v>
      </c>
      <c r="D66" s="7" t="s">
        <v>98</v>
      </c>
      <c r="E66" s="8" t="n">
        <v>46286</v>
      </c>
      <c r="F66" s="8" t="n">
        <v>46290</v>
      </c>
      <c r="G66" s="11" t="n">
        <f aca="false">NETWORKDAYS(E66,F66)</f>
        <v>5</v>
      </c>
      <c r="H66" s="12" t="s">
        <v>144</v>
      </c>
      <c r="I66" s="7" t="s">
        <v>18</v>
      </c>
      <c r="J66" s="10" t="n">
        <v>0</v>
      </c>
      <c r="K66" s="11" t="s">
        <v>19</v>
      </c>
      <c r="L66" s="13" t="s">
        <v>238</v>
      </c>
    </row>
    <row r="67" customFormat="false" ht="15" hidden="false" customHeight="false" outlineLevel="0" collapsed="false">
      <c r="A67" s="11" t="s">
        <v>239</v>
      </c>
      <c r="B67" s="12" t="s">
        <v>232</v>
      </c>
      <c r="C67" s="13" t="s">
        <v>240</v>
      </c>
      <c r="D67" s="7" t="s">
        <v>98</v>
      </c>
      <c r="E67" s="8" t="n">
        <v>46287</v>
      </c>
      <c r="F67" s="8" t="n">
        <v>46294</v>
      </c>
      <c r="G67" s="11" t="n">
        <f aca="false">NETWORKDAYS(E67,F67)</f>
        <v>6</v>
      </c>
      <c r="H67" s="12" t="s">
        <v>236</v>
      </c>
      <c r="I67" s="7" t="s">
        <v>18</v>
      </c>
      <c r="J67" s="10" t="n">
        <v>0</v>
      </c>
      <c r="K67" s="11" t="s">
        <v>35</v>
      </c>
      <c r="L67" s="13" t="s">
        <v>241</v>
      </c>
    </row>
    <row r="68" customFormat="false" ht="15" hidden="false" customHeight="false" outlineLevel="0" collapsed="false">
      <c r="A68" s="11" t="s">
        <v>242</v>
      </c>
      <c r="B68" s="12" t="s">
        <v>232</v>
      </c>
      <c r="C68" s="13" t="s">
        <v>243</v>
      </c>
      <c r="D68" s="7" t="s">
        <v>244</v>
      </c>
      <c r="E68" s="8" t="n">
        <v>46288</v>
      </c>
      <c r="F68" s="8" t="n">
        <v>46294</v>
      </c>
      <c r="G68" s="11" t="n">
        <f aca="false">NETWORKDAYS(E68,F68)</f>
        <v>5</v>
      </c>
      <c r="H68" s="12" t="s">
        <v>236</v>
      </c>
      <c r="I68" s="7" t="s">
        <v>18</v>
      </c>
      <c r="J68" s="10" t="n">
        <v>0</v>
      </c>
      <c r="K68" s="11" t="s">
        <v>19</v>
      </c>
      <c r="L68" s="13" t="s">
        <v>245</v>
      </c>
    </row>
    <row r="69" customFormat="false" ht="15" hidden="false" customHeight="false" outlineLevel="0" collapsed="false">
      <c r="A69" s="11" t="s">
        <v>246</v>
      </c>
      <c r="B69" s="12" t="s">
        <v>232</v>
      </c>
      <c r="C69" s="13" t="s">
        <v>247</v>
      </c>
      <c r="D69" s="7" t="s">
        <v>248</v>
      </c>
      <c r="E69" s="8" t="n">
        <v>46289</v>
      </c>
      <c r="F69" s="8" t="n">
        <v>46295</v>
      </c>
      <c r="G69" s="11" t="n">
        <f aca="false">NETWORKDAYS(E69,F69)</f>
        <v>5</v>
      </c>
      <c r="H69" s="12" t="s">
        <v>231</v>
      </c>
      <c r="I69" s="7" t="s">
        <v>18</v>
      </c>
      <c r="J69" s="10" t="n">
        <v>0</v>
      </c>
      <c r="K69" s="11" t="s">
        <v>35</v>
      </c>
      <c r="L69" s="13" t="s">
        <v>249</v>
      </c>
    </row>
    <row r="70" customFormat="false" ht="15" hidden="false" customHeight="false" outlineLevel="0" collapsed="false">
      <c r="A70" s="11" t="s">
        <v>250</v>
      </c>
      <c r="B70" s="12" t="s">
        <v>232</v>
      </c>
      <c r="C70" s="13" t="s">
        <v>251</v>
      </c>
      <c r="D70" s="7" t="s">
        <v>149</v>
      </c>
      <c r="E70" s="8" t="n">
        <v>46293</v>
      </c>
      <c r="F70" s="8" t="n">
        <v>46295</v>
      </c>
      <c r="G70" s="11" t="n">
        <f aca="false">NETWORKDAYS(E70,F70)</f>
        <v>3</v>
      </c>
      <c r="H70" s="12" t="s">
        <v>239</v>
      </c>
      <c r="I70" s="7" t="s">
        <v>18</v>
      </c>
      <c r="J70" s="10" t="n">
        <v>0</v>
      </c>
      <c r="K70" s="11" t="s">
        <v>35</v>
      </c>
      <c r="L70" s="13" t="s">
        <v>252</v>
      </c>
    </row>
    <row r="71" customFormat="false" ht="15" hidden="false" customHeight="false" outlineLevel="0" collapsed="false">
      <c r="A71" s="4" t="s">
        <v>253</v>
      </c>
      <c r="B71" s="5" t="s">
        <v>254</v>
      </c>
      <c r="C71" s="6" t="s">
        <v>255</v>
      </c>
      <c r="D71" s="7" t="s">
        <v>256</v>
      </c>
      <c r="E71" s="8" t="n">
        <v>46280</v>
      </c>
      <c r="F71" s="8" t="n">
        <v>46281</v>
      </c>
      <c r="G71" s="4" t="n">
        <f aca="false">NETWORKDAYS(E71,F71)</f>
        <v>2</v>
      </c>
      <c r="H71" s="9" t="s">
        <v>128</v>
      </c>
      <c r="I71" s="7" t="s">
        <v>18</v>
      </c>
      <c r="J71" s="10" t="n">
        <v>0</v>
      </c>
      <c r="K71" s="4" t="s">
        <v>19</v>
      </c>
      <c r="L71" s="6" t="s">
        <v>257</v>
      </c>
    </row>
    <row r="72" customFormat="false" ht="15" hidden="false" customHeight="false" outlineLevel="0" collapsed="false">
      <c r="A72" s="11" t="s">
        <v>258</v>
      </c>
      <c r="B72" s="12" t="s">
        <v>254</v>
      </c>
      <c r="C72" s="13" t="s">
        <v>259</v>
      </c>
      <c r="D72" s="7" t="s">
        <v>256</v>
      </c>
      <c r="E72" s="8" t="n">
        <v>46281</v>
      </c>
      <c r="F72" s="8" t="n">
        <v>46288</v>
      </c>
      <c r="G72" s="11" t="n">
        <f aca="false">NETWORKDAYS(E72,F72)</f>
        <v>6</v>
      </c>
      <c r="H72" s="12" t="s">
        <v>253</v>
      </c>
      <c r="I72" s="7" t="s">
        <v>18</v>
      </c>
      <c r="J72" s="10" t="n">
        <v>0</v>
      </c>
      <c r="K72" s="11" t="s">
        <v>19</v>
      </c>
      <c r="L72" s="13" t="s">
        <v>260</v>
      </c>
    </row>
    <row r="73" customFormat="false" ht="15" hidden="false" customHeight="false" outlineLevel="0" collapsed="false">
      <c r="A73" s="11" t="s">
        <v>261</v>
      </c>
      <c r="B73" s="12" t="s">
        <v>254</v>
      </c>
      <c r="C73" s="13" t="s">
        <v>262</v>
      </c>
      <c r="D73" s="7" t="s">
        <v>256</v>
      </c>
      <c r="E73" s="8" t="n">
        <v>46283</v>
      </c>
      <c r="F73" s="8" t="n">
        <v>46290</v>
      </c>
      <c r="G73" s="11" t="n">
        <f aca="false">NETWORKDAYS(E73,F73)</f>
        <v>6</v>
      </c>
      <c r="H73" s="12" t="s">
        <v>258</v>
      </c>
      <c r="I73" s="7" t="s">
        <v>18</v>
      </c>
      <c r="J73" s="10" t="n">
        <v>0</v>
      </c>
      <c r="K73" s="11" t="s">
        <v>19</v>
      </c>
      <c r="L73" s="13" t="s">
        <v>263</v>
      </c>
    </row>
    <row r="74" customFormat="false" ht="15" hidden="false" customHeight="false" outlineLevel="0" collapsed="false">
      <c r="A74" s="11" t="s">
        <v>264</v>
      </c>
      <c r="B74" s="12" t="s">
        <v>254</v>
      </c>
      <c r="C74" s="13" t="s">
        <v>265</v>
      </c>
      <c r="D74" s="7" t="s">
        <v>256</v>
      </c>
      <c r="E74" s="8" t="n">
        <v>46287</v>
      </c>
      <c r="F74" s="8" t="n">
        <v>46290</v>
      </c>
      <c r="G74" s="11" t="n">
        <f aca="false">NETWORKDAYS(E74,F74)</f>
        <v>4</v>
      </c>
      <c r="H74" s="12" t="s">
        <v>261</v>
      </c>
      <c r="I74" s="7" t="s">
        <v>18</v>
      </c>
      <c r="J74" s="10" t="n">
        <v>0</v>
      </c>
      <c r="K74" s="11" t="s">
        <v>19</v>
      </c>
      <c r="L74" s="13" t="s">
        <v>266</v>
      </c>
    </row>
    <row r="75" customFormat="false" ht="15" hidden="false" customHeight="false" outlineLevel="0" collapsed="false">
      <c r="A75" s="11" t="s">
        <v>267</v>
      </c>
      <c r="B75" s="12" t="s">
        <v>254</v>
      </c>
      <c r="C75" s="13" t="s">
        <v>268</v>
      </c>
      <c r="D75" s="7" t="s">
        <v>51</v>
      </c>
      <c r="E75" s="8" t="n">
        <v>46288</v>
      </c>
      <c r="F75" s="8" t="n">
        <v>46294</v>
      </c>
      <c r="G75" s="11" t="n">
        <f aca="false">NETWORKDAYS(E75,F75)</f>
        <v>5</v>
      </c>
      <c r="H75" s="12" t="s">
        <v>253</v>
      </c>
      <c r="I75" s="7" t="s">
        <v>18</v>
      </c>
      <c r="J75" s="10" t="n">
        <v>0</v>
      </c>
      <c r="K75" s="11" t="s">
        <v>19</v>
      </c>
      <c r="L75" s="13" t="s">
        <v>269</v>
      </c>
    </row>
    <row r="76" customFormat="false" ht="15" hidden="false" customHeight="false" outlineLevel="0" collapsed="false">
      <c r="A76" s="11" t="s">
        <v>270</v>
      </c>
      <c r="B76" s="12" t="s">
        <v>254</v>
      </c>
      <c r="C76" s="13" t="s">
        <v>271</v>
      </c>
      <c r="D76" s="7" t="s">
        <v>67</v>
      </c>
      <c r="E76" s="8" t="n">
        <v>46288</v>
      </c>
      <c r="F76" s="8" t="n">
        <v>46295</v>
      </c>
      <c r="G76" s="11" t="n">
        <f aca="false">NETWORKDAYS(E76,F76)</f>
        <v>6</v>
      </c>
      <c r="H76" s="12" t="s">
        <v>65</v>
      </c>
      <c r="I76" s="7" t="s">
        <v>18</v>
      </c>
      <c r="J76" s="10" t="n">
        <v>0</v>
      </c>
      <c r="K76" s="11" t="s">
        <v>19</v>
      </c>
      <c r="L76" s="13" t="s">
        <v>272</v>
      </c>
    </row>
    <row r="77" customFormat="false" ht="15" hidden="false" customHeight="false" outlineLevel="0" collapsed="false">
      <c r="A77" s="11" t="s">
        <v>273</v>
      </c>
      <c r="B77" s="12" t="s">
        <v>254</v>
      </c>
      <c r="C77" s="13" t="s">
        <v>274</v>
      </c>
      <c r="D77" s="7" t="s">
        <v>256</v>
      </c>
      <c r="E77" s="8" t="n">
        <v>46293</v>
      </c>
      <c r="F77" s="8" t="n">
        <v>46295</v>
      </c>
      <c r="G77" s="11" t="n">
        <f aca="false">NETWORKDAYS(E77,F77)</f>
        <v>3</v>
      </c>
      <c r="H77" s="12" t="s">
        <v>261</v>
      </c>
      <c r="I77" s="7" t="s">
        <v>18</v>
      </c>
      <c r="J77" s="10" t="n">
        <v>0</v>
      </c>
      <c r="K77" s="11" t="s">
        <v>19</v>
      </c>
      <c r="L77" s="13" t="s">
        <v>275</v>
      </c>
    </row>
    <row r="78" customFormat="false" ht="15" hidden="false" customHeight="false" outlineLevel="0" collapsed="false">
      <c r="A78" s="4" t="s">
        <v>276</v>
      </c>
      <c r="B78" s="5" t="s">
        <v>277</v>
      </c>
      <c r="C78" s="6" t="s">
        <v>278</v>
      </c>
      <c r="D78" s="7" t="s">
        <v>63</v>
      </c>
      <c r="E78" s="8" t="n">
        <v>46289</v>
      </c>
      <c r="F78" s="8" t="n">
        <v>46290</v>
      </c>
      <c r="G78" s="4" t="n">
        <f aca="false">NETWORKDAYS(E78,F78)</f>
        <v>2</v>
      </c>
      <c r="H78" s="9" t="s">
        <v>86</v>
      </c>
      <c r="I78" s="7" t="s">
        <v>18</v>
      </c>
      <c r="J78" s="10" t="n">
        <v>0</v>
      </c>
      <c r="K78" s="4" t="s">
        <v>19</v>
      </c>
      <c r="L78" s="6" t="s">
        <v>279</v>
      </c>
    </row>
    <row r="79" customFormat="false" ht="15" hidden="false" customHeight="false" outlineLevel="0" collapsed="false">
      <c r="A79" s="11" t="s">
        <v>280</v>
      </c>
      <c r="B79" s="12" t="s">
        <v>277</v>
      </c>
      <c r="C79" s="13" t="s">
        <v>281</v>
      </c>
      <c r="D79" s="7" t="s">
        <v>63</v>
      </c>
      <c r="E79" s="8" t="n">
        <v>46290</v>
      </c>
      <c r="F79" s="8" t="n">
        <v>46294</v>
      </c>
      <c r="G79" s="11" t="n">
        <f aca="false">NETWORKDAYS(E79,F79)</f>
        <v>3</v>
      </c>
      <c r="H79" s="12" t="s">
        <v>276</v>
      </c>
      <c r="I79" s="7" t="s">
        <v>18</v>
      </c>
      <c r="J79" s="10" t="n">
        <v>0</v>
      </c>
      <c r="K79" s="11" t="s">
        <v>19</v>
      </c>
      <c r="L79" s="13" t="s">
        <v>282</v>
      </c>
    </row>
    <row r="80" customFormat="false" ht="15" hidden="false" customHeight="false" outlineLevel="0" collapsed="false">
      <c r="A80" s="11" t="s">
        <v>283</v>
      </c>
      <c r="B80" s="12" t="s">
        <v>277</v>
      </c>
      <c r="C80" s="13" t="s">
        <v>284</v>
      </c>
      <c r="D80" s="7" t="s">
        <v>285</v>
      </c>
      <c r="E80" s="8" t="n">
        <v>46290</v>
      </c>
      <c r="F80" s="8" t="n">
        <v>46294</v>
      </c>
      <c r="G80" s="11" t="n">
        <f aca="false">NETWORKDAYS(E80,F80)</f>
        <v>3</v>
      </c>
      <c r="H80" s="12" t="s">
        <v>276</v>
      </c>
      <c r="I80" s="7" t="s">
        <v>18</v>
      </c>
      <c r="J80" s="10" t="n">
        <v>0</v>
      </c>
      <c r="K80" s="11" t="s">
        <v>19</v>
      </c>
      <c r="L80" s="13" t="s">
        <v>286</v>
      </c>
    </row>
    <row r="81" customFormat="false" ht="15" hidden="false" customHeight="false" outlineLevel="0" collapsed="false">
      <c r="A81" s="11" t="s">
        <v>287</v>
      </c>
      <c r="B81" s="12" t="s">
        <v>277</v>
      </c>
      <c r="C81" s="13" t="s">
        <v>288</v>
      </c>
      <c r="D81" s="7" t="s">
        <v>98</v>
      </c>
      <c r="E81" s="8" t="n">
        <v>46295</v>
      </c>
      <c r="F81" s="8" t="n">
        <v>46295</v>
      </c>
      <c r="G81" s="11" t="n">
        <f aca="false">NETWORKDAYS(E81,F81)</f>
        <v>1</v>
      </c>
      <c r="H81" s="12" t="s">
        <v>176</v>
      </c>
      <c r="I81" s="7" t="s">
        <v>18</v>
      </c>
      <c r="J81" s="10" t="n">
        <v>0</v>
      </c>
      <c r="K81" s="11" t="s">
        <v>19</v>
      </c>
      <c r="L81" s="13" t="s">
        <v>289</v>
      </c>
    </row>
    <row r="82" customFormat="false" ht="15" hidden="false" customHeight="false" outlineLevel="0" collapsed="false">
      <c r="A82" s="11" t="s">
        <v>290</v>
      </c>
      <c r="B82" s="12" t="s">
        <v>277</v>
      </c>
      <c r="C82" s="13" t="s">
        <v>291</v>
      </c>
      <c r="D82" s="7" t="s">
        <v>292</v>
      </c>
      <c r="E82" s="8" t="n">
        <v>46295</v>
      </c>
      <c r="F82" s="8" t="n">
        <v>46296</v>
      </c>
      <c r="G82" s="11" t="n">
        <f aca="false">NETWORKDAYS(E82,F82)</f>
        <v>2</v>
      </c>
      <c r="H82" s="12" t="s">
        <v>287</v>
      </c>
      <c r="I82" s="7" t="s">
        <v>18</v>
      </c>
      <c r="J82" s="10" t="n">
        <v>0</v>
      </c>
      <c r="K82" s="11" t="s">
        <v>19</v>
      </c>
      <c r="L82" s="13" t="s">
        <v>293</v>
      </c>
    </row>
    <row r="83" customFormat="false" ht="15" hidden="false" customHeight="false" outlineLevel="0" collapsed="false">
      <c r="A83" s="11" t="s">
        <v>294</v>
      </c>
      <c r="B83" s="12" t="s">
        <v>277</v>
      </c>
      <c r="C83" s="13" t="s">
        <v>295</v>
      </c>
      <c r="D83" s="7" t="s">
        <v>17</v>
      </c>
      <c r="E83" s="8" t="n">
        <v>46296</v>
      </c>
      <c r="F83" s="8" t="n">
        <v>46296</v>
      </c>
      <c r="G83" s="11" t="n">
        <f aca="false">NETWORKDAYS(E83,F83)</f>
        <v>1</v>
      </c>
      <c r="H83" s="12" t="s">
        <v>290</v>
      </c>
      <c r="I83" s="7" t="s">
        <v>18</v>
      </c>
      <c r="J83" s="10" t="n">
        <v>0</v>
      </c>
      <c r="K83" s="11" t="s">
        <v>19</v>
      </c>
      <c r="L83" s="13" t="s">
        <v>296</v>
      </c>
    </row>
    <row r="84" customFormat="false" ht="15" hidden="false" customHeight="false" outlineLevel="0" collapsed="false">
      <c r="A84" s="4" t="s">
        <v>297</v>
      </c>
      <c r="B84" s="5" t="s">
        <v>298</v>
      </c>
      <c r="C84" s="6" t="s">
        <v>299</v>
      </c>
      <c r="D84" s="7" t="s">
        <v>114</v>
      </c>
      <c r="E84" s="8" t="n">
        <v>46294</v>
      </c>
      <c r="F84" s="8" t="n">
        <v>46295</v>
      </c>
      <c r="G84" s="4" t="n">
        <f aca="false">NETWORKDAYS(E84,F84)</f>
        <v>2</v>
      </c>
      <c r="H84" s="9" t="s">
        <v>122</v>
      </c>
      <c r="I84" s="7" t="s">
        <v>18</v>
      </c>
      <c r="J84" s="10" t="n">
        <v>0</v>
      </c>
      <c r="K84" s="4" t="s">
        <v>35</v>
      </c>
      <c r="L84" s="6" t="s">
        <v>300</v>
      </c>
    </row>
    <row r="85" customFormat="false" ht="15" hidden="false" customHeight="false" outlineLevel="0" collapsed="false">
      <c r="A85" s="11" t="s">
        <v>301</v>
      </c>
      <c r="B85" s="12" t="s">
        <v>298</v>
      </c>
      <c r="C85" s="13" t="s">
        <v>302</v>
      </c>
      <c r="D85" s="7" t="s">
        <v>303</v>
      </c>
      <c r="E85" s="8" t="n">
        <v>46294</v>
      </c>
      <c r="F85" s="8" t="n">
        <v>46295</v>
      </c>
      <c r="G85" s="11" t="n">
        <f aca="false">NETWORKDAYS(E85,F85)</f>
        <v>2</v>
      </c>
      <c r="H85" s="12" t="s">
        <v>57</v>
      </c>
      <c r="I85" s="7" t="s">
        <v>18</v>
      </c>
      <c r="J85" s="10" t="n">
        <v>0</v>
      </c>
      <c r="K85" s="11" t="s">
        <v>35</v>
      </c>
      <c r="L85" s="13" t="s">
        <v>304</v>
      </c>
    </row>
    <row r="86" customFormat="false" ht="15" hidden="false" customHeight="false" outlineLevel="0" collapsed="false">
      <c r="A86" s="11" t="s">
        <v>305</v>
      </c>
      <c r="B86" s="12" t="s">
        <v>298</v>
      </c>
      <c r="C86" s="13" t="s">
        <v>306</v>
      </c>
      <c r="D86" s="7" t="s">
        <v>192</v>
      </c>
      <c r="E86" s="8" t="n">
        <v>46295</v>
      </c>
      <c r="F86" s="8" t="n">
        <v>46296</v>
      </c>
      <c r="G86" s="11" t="n">
        <f aca="false">NETWORKDAYS(E86,F86)</f>
        <v>2</v>
      </c>
      <c r="H86" s="12" t="s">
        <v>301</v>
      </c>
      <c r="I86" s="7" t="s">
        <v>18</v>
      </c>
      <c r="J86" s="10" t="n">
        <v>0</v>
      </c>
      <c r="K86" s="11" t="s">
        <v>35</v>
      </c>
      <c r="L86" s="13" t="s">
        <v>307</v>
      </c>
    </row>
    <row r="87" customFormat="false" ht="15" hidden="false" customHeight="false" outlineLevel="0" collapsed="false">
      <c r="A87" s="11" t="s">
        <v>308</v>
      </c>
      <c r="B87" s="12" t="s">
        <v>298</v>
      </c>
      <c r="C87" s="13" t="s">
        <v>309</v>
      </c>
      <c r="D87" s="7" t="s">
        <v>23</v>
      </c>
      <c r="E87" s="8" t="n">
        <v>46296</v>
      </c>
      <c r="F87" s="8" t="n">
        <v>46296</v>
      </c>
      <c r="G87" s="11" t="n">
        <f aca="false">NETWORKDAYS(E87,F87)</f>
        <v>1</v>
      </c>
      <c r="H87" s="12" t="s">
        <v>125</v>
      </c>
      <c r="I87" s="7" t="s">
        <v>18</v>
      </c>
      <c r="J87" s="10" t="n">
        <v>0</v>
      </c>
      <c r="K87" s="11" t="s">
        <v>19</v>
      </c>
      <c r="L87" s="13" t="s">
        <v>310</v>
      </c>
    </row>
  </sheetData>
  <autoFilter ref="A4:L87"/>
  <conditionalFormatting sqref="I5:I87">
    <cfRule type="cellIs" priority="2" operator="equal" aboveAverage="0" equalAverage="0" bottom="0" percent="0" rank="0" text="" dxfId="6">
      <formula>"Done"</formula>
    </cfRule>
    <cfRule type="cellIs" priority="3" operator="equal" aboveAverage="0" equalAverage="0" bottom="0" percent="0" rank="0" text="" dxfId="7">
      <formula>"Blocked"</formula>
    </cfRule>
    <cfRule type="cellIs" priority="4" operator="equal" aboveAverage="0" equalAverage="0" bottom="0" percent="0" rank="0" text="" dxfId="8">
      <formula>"In Progress"</formula>
    </cfRule>
  </conditionalFormatting>
  <dataValidations count="1">
    <dataValidation allowBlank="true" errorStyle="stop" operator="between" showDropDown="false" showErrorMessage="false" showInputMessage="false" sqref="I5:I87" type="list">
      <formula1>"Not Started,In Progress,Blocked,Done,Deferred"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9"/>
    <col collapsed="false" customWidth="true" hidden="false" outlineLevel="0" max="4" min="4" style="0" width="10"/>
    <col collapsed="false" customWidth="true" hidden="false" outlineLevel="0" max="7" min="5" style="0" width="13"/>
    <col collapsed="false" customWidth="true" hidden="false" outlineLevel="0" max="8" min="8" style="0" width="14"/>
  </cols>
  <sheetData>
    <row r="1" customFormat="false" ht="17.35" hidden="false" customHeight="false" outlineLevel="0" collapsed="false">
      <c r="A1" s="1" t="s">
        <v>311</v>
      </c>
    </row>
    <row r="2" customFormat="false" ht="15" hidden="false" customHeight="false" outlineLevel="0" collapsed="false">
      <c r="A2" s="2" t="s">
        <v>312</v>
      </c>
    </row>
    <row r="4" customFormat="false" ht="15" hidden="false" customHeight="false" outlineLevel="0" collapsed="false">
      <c r="A4" s="14" t="s">
        <v>313</v>
      </c>
      <c r="B4" s="15" t="n">
        <v>46296</v>
      </c>
    </row>
    <row r="5" customFormat="false" ht="15" hidden="false" customHeight="false" outlineLevel="0" collapsed="false">
      <c r="A5" s="14" t="s">
        <v>314</v>
      </c>
      <c r="B5" s="16" t="n">
        <f aca="true">NETWORKDAYS(TODAY(),$B$4)</f>
        <v>18</v>
      </c>
    </row>
    <row r="6" customFormat="false" ht="15" hidden="false" customHeight="false" outlineLevel="0" collapsed="false">
      <c r="A6" s="14" t="s">
        <v>315</v>
      </c>
      <c r="B6" s="16" t="n">
        <f aca="false">COUNTA('Merge Plan'!$A$5:$A$87)</f>
        <v>83</v>
      </c>
    </row>
    <row r="7" customFormat="false" ht="15" hidden="false" customHeight="false" outlineLevel="0" collapsed="false">
      <c r="A7" s="14" t="s">
        <v>316</v>
      </c>
      <c r="B7" s="16" t="n">
        <f aca="false">COUNTIF('Merge Plan'!$I$5:$I$87,"Done")</f>
        <v>0</v>
      </c>
    </row>
    <row r="8" customFormat="false" ht="15" hidden="false" customHeight="false" outlineLevel="0" collapsed="false">
      <c r="A8" s="14" t="s">
        <v>317</v>
      </c>
      <c r="B8" s="16" t="n">
        <f aca="false">COUNTIF('Merge Plan'!$I$5:$I$87,"Blocked")</f>
        <v>0</v>
      </c>
    </row>
    <row r="9" customFormat="false" ht="15" hidden="false" customHeight="false" outlineLevel="0" collapsed="false">
      <c r="A9" s="14" t="s">
        <v>318</v>
      </c>
      <c r="B9" s="17" t="n">
        <f aca="false">IFERROR(AVERAGE('Merge Plan'!$J$5:$J$87),0)</f>
        <v>0</v>
      </c>
    </row>
    <row r="10" customFormat="false" ht="15" hidden="false" customHeight="false" outlineLevel="0" collapsed="false">
      <c r="A10" s="14" t="s">
        <v>319</v>
      </c>
      <c r="B10" s="16" t="n">
        <f aca="false">COUNTIFS('Merge Plan'!$K$5:$K$87,"Y",'Merge Plan'!$I$5:$I$87,"&lt;&gt;Done")</f>
        <v>71</v>
      </c>
    </row>
    <row r="12" customFormat="false" ht="15" hidden="false" customHeight="false" outlineLevel="0" collapsed="false">
      <c r="A12" s="3" t="s">
        <v>3</v>
      </c>
      <c r="B12" s="3" t="s">
        <v>320</v>
      </c>
      <c r="C12" s="3" t="s">
        <v>321</v>
      </c>
      <c r="D12" s="3" t="s">
        <v>322</v>
      </c>
      <c r="E12" s="3" t="s">
        <v>6</v>
      </c>
      <c r="F12" s="3" t="s">
        <v>323</v>
      </c>
      <c r="G12" s="3" t="s">
        <v>324</v>
      </c>
      <c r="H12" s="3" t="s">
        <v>10</v>
      </c>
    </row>
    <row r="13" customFormat="false" ht="15" hidden="false" customHeight="false" outlineLevel="0" collapsed="false">
      <c r="A13" s="14" t="s">
        <v>15</v>
      </c>
      <c r="B13" s="18" t="n">
        <f aca="false">COUNTIF('Merge Plan'!$B$5:$B$87,$A13)</f>
        <v>5</v>
      </c>
      <c r="C13" s="18" t="n">
        <f aca="false">COUNTIFS('Merge Plan'!$B$5:$B$87,$A13,'Merge Plan'!$I$5:$I$87,"Done")</f>
        <v>0</v>
      </c>
      <c r="D13" s="18" t="n">
        <f aca="false">COUNTIFS('Merge Plan'!$B$5:$B$87,$A13,'Merge Plan'!$I$5:$I$87,"Blocked")</f>
        <v>0</v>
      </c>
      <c r="E13" s="19" t="n">
        <f aca="false">_xlfn.MINIFS('Merge Plan'!$E$5:$E$87,'Merge Plan'!$B$5:$B$87,$A13)</f>
        <v>46273</v>
      </c>
      <c r="F13" s="19" t="n">
        <f aca="false">_xlfn.MAXIFS('Merge Plan'!$F$5:$F$87,'Merge Plan'!$B$5:$B$87,$A13)</f>
        <v>46274</v>
      </c>
      <c r="G13" s="20" t="n">
        <f aca="false">IFERROR(AVERAGEIF('Merge Plan'!$B$5:$B$87,$A13,'Merge Plan'!$J$5:$J$87),0)</f>
        <v>0</v>
      </c>
      <c r="H13" s="18" t="str">
        <f aca="false">IF($D13&gt;0,"Blocked",IF($C13=$B13,"Done",IF($C13&gt;0,"In Progress","Not Started")))</f>
        <v>Not Started</v>
      </c>
    </row>
    <row r="14" customFormat="false" ht="15" hidden="false" customHeight="false" outlineLevel="0" collapsed="false">
      <c r="A14" s="14" t="s">
        <v>38</v>
      </c>
      <c r="B14" s="18" t="n">
        <f aca="false">COUNTIF('Merge Plan'!$B$5:$B$87,$A14)</f>
        <v>9</v>
      </c>
      <c r="C14" s="18" t="n">
        <f aca="false">COUNTIFS('Merge Plan'!$B$5:$B$87,$A14,'Merge Plan'!$I$5:$I$87,"Done")</f>
        <v>0</v>
      </c>
      <c r="D14" s="18" t="n">
        <f aca="false">COUNTIFS('Merge Plan'!$B$5:$B$87,$A14,'Merge Plan'!$I$5:$I$87,"Blocked")</f>
        <v>0</v>
      </c>
      <c r="E14" s="19" t="n">
        <f aca="false">_xlfn.MINIFS('Merge Plan'!$E$5:$E$87,'Merge Plan'!$B$5:$B$87,$A14)</f>
        <v>46273</v>
      </c>
      <c r="F14" s="19" t="n">
        <f aca="false">_xlfn.MAXIFS('Merge Plan'!$F$5:$F$87,'Merge Plan'!$B$5:$B$87,$A14)</f>
        <v>46276</v>
      </c>
      <c r="G14" s="20" t="n">
        <f aca="false">IFERROR(AVERAGEIF('Merge Plan'!$B$5:$B$87,$A14,'Merge Plan'!$J$5:$J$87),0)</f>
        <v>0</v>
      </c>
      <c r="H14" s="18" t="str">
        <f aca="false">IF($D14&gt;0,"Blocked",IF($C14=$B14,"Done",IF($C14&gt;0,"In Progress","Not Started")))</f>
        <v>Not Started</v>
      </c>
    </row>
    <row r="15" customFormat="false" ht="15" hidden="false" customHeight="false" outlineLevel="0" collapsed="false">
      <c r="A15" s="14" t="s">
        <v>74</v>
      </c>
      <c r="B15" s="18" t="n">
        <f aca="false">COUNTIF('Merge Plan'!$B$5:$B$87,$A15)</f>
        <v>10</v>
      </c>
      <c r="C15" s="18" t="n">
        <f aca="false">COUNTIFS('Merge Plan'!$B$5:$B$87,$A15,'Merge Plan'!$I$5:$I$87,"Done")</f>
        <v>0</v>
      </c>
      <c r="D15" s="18" t="n">
        <f aca="false">COUNTIFS('Merge Plan'!$B$5:$B$87,$A15,'Merge Plan'!$I$5:$I$87,"Blocked")</f>
        <v>0</v>
      </c>
      <c r="E15" s="19" t="n">
        <f aca="false">_xlfn.MINIFS('Merge Plan'!$E$5:$E$87,'Merge Plan'!$B$5:$B$87,$A15)</f>
        <v>46274</v>
      </c>
      <c r="F15" s="19" t="n">
        <f aca="false">_xlfn.MAXIFS('Merge Plan'!$F$5:$F$87,'Merge Plan'!$B$5:$B$87,$A15)</f>
        <v>46289</v>
      </c>
      <c r="G15" s="20" t="n">
        <f aca="false">IFERROR(AVERAGEIF('Merge Plan'!$B$5:$B$87,$A15,'Merge Plan'!$J$5:$J$87),0)</f>
        <v>0</v>
      </c>
      <c r="H15" s="18" t="str">
        <f aca="false">IF($D15&gt;0,"Blocked",IF($C15=$B15,"Done",IF($C15&gt;0,"In Progress","Not Started")))</f>
        <v>Not Started</v>
      </c>
    </row>
    <row r="16" customFormat="false" ht="15" hidden="false" customHeight="false" outlineLevel="0" collapsed="false">
      <c r="A16" s="14" t="s">
        <v>112</v>
      </c>
      <c r="B16" s="18" t="n">
        <f aca="false">COUNTIF('Merge Plan'!$B$5:$B$87,$A16)</f>
        <v>6</v>
      </c>
      <c r="C16" s="18" t="n">
        <f aca="false">COUNTIFS('Merge Plan'!$B$5:$B$87,$A16,'Merge Plan'!$I$5:$I$87,"Done")</f>
        <v>0</v>
      </c>
      <c r="D16" s="18" t="n">
        <f aca="false">COUNTIFS('Merge Plan'!$B$5:$B$87,$A16,'Merge Plan'!$I$5:$I$87,"Blocked")</f>
        <v>0</v>
      </c>
      <c r="E16" s="19" t="n">
        <f aca="false">_xlfn.MINIFS('Merge Plan'!$E$5:$E$87,'Merge Plan'!$B$5:$B$87,$A16)</f>
        <v>46275</v>
      </c>
      <c r="F16" s="19" t="n">
        <f aca="false">_xlfn.MAXIFS('Merge Plan'!$F$5:$F$87,'Merge Plan'!$B$5:$B$87,$A16)</f>
        <v>46279</v>
      </c>
      <c r="G16" s="20" t="n">
        <f aca="false">IFERROR(AVERAGEIF('Merge Plan'!$B$5:$B$87,$A16,'Merge Plan'!$J$5:$J$87),0)</f>
        <v>0</v>
      </c>
      <c r="H16" s="18" t="str">
        <f aca="false">IF($D16&gt;0,"Blocked",IF($C16=$B16,"Done",IF($C16&gt;0,"In Progress","Not Started")))</f>
        <v>Not Started</v>
      </c>
    </row>
    <row r="17" customFormat="false" ht="15" hidden="false" customHeight="false" outlineLevel="0" collapsed="false">
      <c r="A17" s="14" t="s">
        <v>132</v>
      </c>
      <c r="B17" s="18" t="n">
        <f aca="false">COUNTIF('Merge Plan'!$B$5:$B$87,$A17)</f>
        <v>7</v>
      </c>
      <c r="C17" s="18" t="n">
        <f aca="false">COUNTIFS('Merge Plan'!$B$5:$B$87,$A17,'Merge Plan'!$I$5:$I$87,"Done")</f>
        <v>0</v>
      </c>
      <c r="D17" s="18" t="n">
        <f aca="false">COUNTIFS('Merge Plan'!$B$5:$B$87,$A17,'Merge Plan'!$I$5:$I$87,"Blocked")</f>
        <v>0</v>
      </c>
      <c r="E17" s="19" t="n">
        <f aca="false">_xlfn.MINIFS('Merge Plan'!$E$5:$E$87,'Merge Plan'!$B$5:$B$87,$A17)</f>
        <v>46280</v>
      </c>
      <c r="F17" s="19" t="n">
        <f aca="false">_xlfn.MAXIFS('Merge Plan'!$F$5:$F$87,'Merge Plan'!$B$5:$B$87,$A17)</f>
        <v>46289</v>
      </c>
      <c r="G17" s="20" t="n">
        <f aca="false">IFERROR(AVERAGEIF('Merge Plan'!$B$5:$B$87,$A17,'Merge Plan'!$J$5:$J$87),0)</f>
        <v>0</v>
      </c>
      <c r="H17" s="18" t="str">
        <f aca="false">IF($D17&gt;0,"Blocked",IF($C17=$B17,"Done",IF($C17&gt;0,"In Progress","Not Started")))</f>
        <v>Not Started</v>
      </c>
    </row>
    <row r="18" customFormat="false" ht="15" hidden="false" customHeight="false" outlineLevel="0" collapsed="false">
      <c r="A18" s="14" t="s">
        <v>155</v>
      </c>
      <c r="B18" s="18" t="n">
        <f aca="false">COUNTIF('Merge Plan'!$B$5:$B$87,$A18)</f>
        <v>10</v>
      </c>
      <c r="C18" s="18" t="n">
        <f aca="false">COUNTIFS('Merge Plan'!$B$5:$B$87,$A18,'Merge Plan'!$I$5:$I$87,"Done")</f>
        <v>0</v>
      </c>
      <c r="D18" s="18" t="n">
        <f aca="false">COUNTIFS('Merge Plan'!$B$5:$B$87,$A18,'Merge Plan'!$I$5:$I$87,"Blocked")</f>
        <v>0</v>
      </c>
      <c r="E18" s="19" t="n">
        <f aca="false">_xlfn.MINIFS('Merge Plan'!$E$5:$E$87,'Merge Plan'!$B$5:$B$87,$A18)</f>
        <v>46280</v>
      </c>
      <c r="F18" s="19" t="n">
        <f aca="false">_xlfn.MAXIFS('Merge Plan'!$F$5:$F$87,'Merge Plan'!$B$5:$B$87,$A18)</f>
        <v>46295</v>
      </c>
      <c r="G18" s="20" t="n">
        <f aca="false">IFERROR(AVERAGEIF('Merge Plan'!$B$5:$B$87,$A18,'Merge Plan'!$J$5:$J$87),0)</f>
        <v>0</v>
      </c>
      <c r="H18" s="18" t="str">
        <f aca="false">IF($D18&gt;0,"Blocked",IF($C18=$B18,"Done",IF($C18&gt;0,"In Progress","Not Started")))</f>
        <v>Not Started</v>
      </c>
    </row>
    <row r="19" customFormat="false" ht="15" hidden="false" customHeight="false" outlineLevel="0" collapsed="false">
      <c r="A19" s="14" t="s">
        <v>186</v>
      </c>
      <c r="B19" s="18" t="n">
        <f aca="false">COUNTIF('Merge Plan'!$B$5:$B$87,$A19)</f>
        <v>7</v>
      </c>
      <c r="C19" s="18" t="n">
        <f aca="false">COUNTIFS('Merge Plan'!$B$5:$B$87,$A19,'Merge Plan'!$I$5:$I$87,"Done")</f>
        <v>0</v>
      </c>
      <c r="D19" s="18" t="n">
        <f aca="false">COUNTIFS('Merge Plan'!$B$5:$B$87,$A19,'Merge Plan'!$I$5:$I$87,"Blocked")</f>
        <v>0</v>
      </c>
      <c r="E19" s="19" t="n">
        <f aca="false">_xlfn.MINIFS('Merge Plan'!$E$5:$E$87,'Merge Plan'!$B$5:$B$87,$A19)</f>
        <v>46280</v>
      </c>
      <c r="F19" s="19" t="n">
        <f aca="false">_xlfn.MAXIFS('Merge Plan'!$F$5:$F$87,'Merge Plan'!$B$5:$B$87,$A19)</f>
        <v>46295</v>
      </c>
      <c r="G19" s="20" t="n">
        <f aca="false">IFERROR(AVERAGEIF('Merge Plan'!$B$5:$B$87,$A19,'Merge Plan'!$J$5:$J$87),0)</f>
        <v>0</v>
      </c>
      <c r="H19" s="18" t="str">
        <f aca="false">IF($D19&gt;0,"Blocked",IF($C19=$B19,"Done",IF($C19&gt;0,"In Progress","Not Started")))</f>
        <v>Not Started</v>
      </c>
    </row>
    <row r="20" customFormat="false" ht="15" hidden="false" customHeight="false" outlineLevel="0" collapsed="false">
      <c r="A20" s="14" t="s">
        <v>212</v>
      </c>
      <c r="B20" s="18" t="n">
        <f aca="false">COUNTIF('Merge Plan'!$B$5:$B$87,$A20)</f>
        <v>6</v>
      </c>
      <c r="C20" s="18" t="n">
        <f aca="false">COUNTIFS('Merge Plan'!$B$5:$B$87,$A20,'Merge Plan'!$I$5:$I$87,"Done")</f>
        <v>0</v>
      </c>
      <c r="D20" s="18" t="n">
        <f aca="false">COUNTIFS('Merge Plan'!$B$5:$B$87,$A20,'Merge Plan'!$I$5:$I$87,"Blocked")</f>
        <v>0</v>
      </c>
      <c r="E20" s="19" t="n">
        <f aca="false">_xlfn.MINIFS('Merge Plan'!$E$5:$E$87,'Merge Plan'!$B$5:$B$87,$A20)</f>
        <v>46281</v>
      </c>
      <c r="F20" s="19" t="n">
        <f aca="false">_xlfn.MAXIFS('Merge Plan'!$F$5:$F$87,'Merge Plan'!$B$5:$B$87,$A20)</f>
        <v>46294</v>
      </c>
      <c r="G20" s="20" t="n">
        <f aca="false">IFERROR(AVERAGEIF('Merge Plan'!$B$5:$B$87,$A20,'Merge Plan'!$J$5:$J$87),0)</f>
        <v>0</v>
      </c>
      <c r="H20" s="18" t="str">
        <f aca="false">IF($D20&gt;0,"Blocked",IF($C20=$B20,"Done",IF($C20&gt;0,"In Progress","Not Started")))</f>
        <v>Not Started</v>
      </c>
    </row>
    <row r="21" customFormat="false" ht="15" hidden="false" customHeight="false" outlineLevel="0" collapsed="false">
      <c r="A21" s="14" t="s">
        <v>232</v>
      </c>
      <c r="B21" s="18" t="n">
        <f aca="false">COUNTIF('Merge Plan'!$B$5:$B$87,$A21)</f>
        <v>6</v>
      </c>
      <c r="C21" s="18" t="n">
        <f aca="false">COUNTIFS('Merge Plan'!$B$5:$B$87,$A21,'Merge Plan'!$I$5:$I$87,"Done")</f>
        <v>0</v>
      </c>
      <c r="D21" s="18" t="n">
        <f aca="false">COUNTIFS('Merge Plan'!$B$5:$B$87,$A21,'Merge Plan'!$I$5:$I$87,"Blocked")</f>
        <v>0</v>
      </c>
      <c r="E21" s="19" t="n">
        <f aca="false">_xlfn.MINIFS('Merge Plan'!$E$5:$E$87,'Merge Plan'!$B$5:$B$87,$A21)</f>
        <v>46282</v>
      </c>
      <c r="F21" s="19" t="n">
        <f aca="false">_xlfn.MAXIFS('Merge Plan'!$F$5:$F$87,'Merge Plan'!$B$5:$B$87,$A21)</f>
        <v>46295</v>
      </c>
      <c r="G21" s="20" t="n">
        <f aca="false">IFERROR(AVERAGEIF('Merge Plan'!$B$5:$B$87,$A21,'Merge Plan'!$J$5:$J$87),0)</f>
        <v>0</v>
      </c>
      <c r="H21" s="18" t="str">
        <f aca="false">IF($D21&gt;0,"Blocked",IF($C21=$B21,"Done",IF($C21&gt;0,"In Progress","Not Started")))</f>
        <v>Not Started</v>
      </c>
    </row>
    <row r="22" customFormat="false" ht="15" hidden="false" customHeight="false" outlineLevel="0" collapsed="false">
      <c r="A22" s="14" t="s">
        <v>254</v>
      </c>
      <c r="B22" s="18" t="n">
        <f aca="false">COUNTIF('Merge Plan'!$B$5:$B$87,$A22)</f>
        <v>7</v>
      </c>
      <c r="C22" s="18" t="n">
        <f aca="false">COUNTIFS('Merge Plan'!$B$5:$B$87,$A22,'Merge Plan'!$I$5:$I$87,"Done")</f>
        <v>0</v>
      </c>
      <c r="D22" s="18" t="n">
        <f aca="false">COUNTIFS('Merge Plan'!$B$5:$B$87,$A22,'Merge Plan'!$I$5:$I$87,"Blocked")</f>
        <v>0</v>
      </c>
      <c r="E22" s="19" t="n">
        <f aca="false">_xlfn.MINIFS('Merge Plan'!$E$5:$E$87,'Merge Plan'!$B$5:$B$87,$A22)</f>
        <v>46280</v>
      </c>
      <c r="F22" s="19" t="n">
        <f aca="false">_xlfn.MAXIFS('Merge Plan'!$F$5:$F$87,'Merge Plan'!$B$5:$B$87,$A22)</f>
        <v>46295</v>
      </c>
      <c r="G22" s="20" t="n">
        <f aca="false">IFERROR(AVERAGEIF('Merge Plan'!$B$5:$B$87,$A22,'Merge Plan'!$J$5:$J$87),0)</f>
        <v>0</v>
      </c>
      <c r="H22" s="18" t="str">
        <f aca="false">IF($D22&gt;0,"Blocked",IF($C22=$B22,"Done",IF($C22&gt;0,"In Progress","Not Started")))</f>
        <v>Not Started</v>
      </c>
    </row>
    <row r="23" customFormat="false" ht="15" hidden="false" customHeight="false" outlineLevel="0" collapsed="false">
      <c r="A23" s="14" t="s">
        <v>277</v>
      </c>
      <c r="B23" s="18" t="n">
        <f aca="false">COUNTIF('Merge Plan'!$B$5:$B$87,$A23)</f>
        <v>6</v>
      </c>
      <c r="C23" s="18" t="n">
        <f aca="false">COUNTIFS('Merge Plan'!$B$5:$B$87,$A23,'Merge Plan'!$I$5:$I$87,"Done")</f>
        <v>0</v>
      </c>
      <c r="D23" s="18" t="n">
        <f aca="false">COUNTIFS('Merge Plan'!$B$5:$B$87,$A23,'Merge Plan'!$I$5:$I$87,"Blocked")</f>
        <v>0</v>
      </c>
      <c r="E23" s="19" t="n">
        <f aca="false">_xlfn.MINIFS('Merge Plan'!$E$5:$E$87,'Merge Plan'!$B$5:$B$87,$A23)</f>
        <v>46289</v>
      </c>
      <c r="F23" s="19" t="n">
        <f aca="false">_xlfn.MAXIFS('Merge Plan'!$F$5:$F$87,'Merge Plan'!$B$5:$B$87,$A23)</f>
        <v>46296</v>
      </c>
      <c r="G23" s="20" t="n">
        <f aca="false">IFERROR(AVERAGEIF('Merge Plan'!$B$5:$B$87,$A23,'Merge Plan'!$J$5:$J$87),0)</f>
        <v>0</v>
      </c>
      <c r="H23" s="18" t="str">
        <f aca="false">IF($D23&gt;0,"Blocked",IF($C23=$B23,"Done",IF($C23&gt;0,"In Progress","Not Started")))</f>
        <v>Not Started</v>
      </c>
    </row>
    <row r="24" customFormat="false" ht="15" hidden="false" customHeight="false" outlineLevel="0" collapsed="false">
      <c r="A24" s="14" t="s">
        <v>298</v>
      </c>
      <c r="B24" s="18" t="n">
        <f aca="false">COUNTIF('Merge Plan'!$B$5:$B$87,$A24)</f>
        <v>4</v>
      </c>
      <c r="C24" s="18" t="n">
        <f aca="false">COUNTIFS('Merge Plan'!$B$5:$B$87,$A24,'Merge Plan'!$I$5:$I$87,"Done")</f>
        <v>0</v>
      </c>
      <c r="D24" s="18" t="n">
        <f aca="false">COUNTIFS('Merge Plan'!$B$5:$B$87,$A24,'Merge Plan'!$I$5:$I$87,"Blocked")</f>
        <v>0</v>
      </c>
      <c r="E24" s="19" t="n">
        <f aca="false">_xlfn.MINIFS('Merge Plan'!$E$5:$E$87,'Merge Plan'!$B$5:$B$87,$A24)</f>
        <v>46294</v>
      </c>
      <c r="F24" s="19" t="n">
        <f aca="false">_xlfn.MAXIFS('Merge Plan'!$F$5:$F$87,'Merge Plan'!$B$5:$B$87,$A24)</f>
        <v>46296</v>
      </c>
      <c r="G24" s="20" t="n">
        <f aca="false">IFERROR(AVERAGEIF('Merge Plan'!$B$5:$B$87,$A24,'Merge Plan'!$J$5:$J$87),0)</f>
        <v>0</v>
      </c>
      <c r="H24" s="18" t="str">
        <f aca="false">IF($D24&gt;0,"Blocked",IF($C24=$B24,"Done",IF($C24&gt;0,"In Progress","Not Started")))</f>
        <v>Not Started</v>
      </c>
    </row>
    <row r="25" customFormat="false" ht="15" hidden="false" customHeight="false" outlineLevel="0" collapsed="false">
      <c r="A25" s="21" t="s">
        <v>325</v>
      </c>
      <c r="B25" s="22" t="n">
        <f aca="false">SUM(B13:B24)</f>
        <v>83</v>
      </c>
      <c r="C25" s="22" t="n">
        <f aca="false">SUM(C13:C24)</f>
        <v>0</v>
      </c>
      <c r="D25" s="22" t="n">
        <f aca="false">SUM(D13:D24)</f>
        <v>0</v>
      </c>
      <c r="E25" s="23" t="n">
        <f aca="false">MIN(E13:E24)</f>
        <v>46273</v>
      </c>
      <c r="F25" s="23" t="n">
        <f aca="false">MAX(F13:F24)</f>
        <v>46296</v>
      </c>
      <c r="G25" s="24" t="n">
        <f aca="false">IFERROR(AVERAGE('Merge Plan'!$J$5:$J$87),0)</f>
        <v>0</v>
      </c>
      <c r="H25" s="2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60"/>
    <col collapsed="false" customWidth="true" hidden="false" outlineLevel="0" max="8" min="3" style="0" width="16"/>
  </cols>
  <sheetData>
    <row r="1" customFormat="false" ht="17.35" hidden="false" customHeight="false" outlineLevel="0" collapsed="false">
      <c r="A1" s="1" t="s">
        <v>326</v>
      </c>
    </row>
    <row r="3" customFormat="false" ht="15" hidden="false" customHeight="false" outlineLevel="0" collapsed="false">
      <c r="A3" s="25"/>
      <c r="B3" s="26"/>
    </row>
    <row r="4" customFormat="false" ht="15" hidden="false" customHeight="false" outlineLevel="0" collapsed="false">
      <c r="A4" s="27" t="s">
        <v>327</v>
      </c>
      <c r="B4" s="26" t="s">
        <v>328</v>
      </c>
    </row>
    <row r="5" customFormat="false" ht="23.85" hidden="false" customHeight="false" outlineLevel="0" collapsed="false">
      <c r="A5" s="27" t="s">
        <v>329</v>
      </c>
      <c r="B5" s="26" t="s">
        <v>330</v>
      </c>
    </row>
    <row r="6" customFormat="false" ht="23.85" hidden="false" customHeight="false" outlineLevel="0" collapsed="false">
      <c r="A6" s="27" t="s">
        <v>331</v>
      </c>
      <c r="B6" s="26" t="s">
        <v>332</v>
      </c>
    </row>
    <row r="7" customFormat="false" ht="23.85" hidden="false" customHeight="false" outlineLevel="0" collapsed="false">
      <c r="A7" s="27" t="s">
        <v>333</v>
      </c>
      <c r="B7" s="26" t="s">
        <v>334</v>
      </c>
    </row>
    <row r="8" customFormat="false" ht="15" hidden="false" customHeight="false" outlineLevel="0" collapsed="false">
      <c r="A8" s="27" t="s">
        <v>335</v>
      </c>
      <c r="B8" s="26" t="s">
        <v>336</v>
      </c>
    </row>
    <row r="9" customFormat="false" ht="15" hidden="false" customHeight="false" outlineLevel="0" collapsed="false">
      <c r="A9" s="25"/>
      <c r="B9" s="26"/>
    </row>
    <row r="10" customFormat="false" ht="15" hidden="false" customHeight="false" outlineLevel="0" collapsed="false">
      <c r="A10" s="27" t="s">
        <v>337</v>
      </c>
      <c r="B10" s="26"/>
    </row>
    <row r="11" customFormat="false" ht="15" hidden="false" customHeight="false" outlineLevel="0" collapsed="false">
      <c r="A11" s="28" t="s">
        <v>2</v>
      </c>
      <c r="B11" s="28" t="s">
        <v>3</v>
      </c>
      <c r="C11" s="28" t="s">
        <v>4</v>
      </c>
      <c r="D11" s="28" t="s">
        <v>5</v>
      </c>
      <c r="E11" s="28" t="s">
        <v>6</v>
      </c>
      <c r="F11" s="28" t="s">
        <v>7</v>
      </c>
      <c r="G11" s="28" t="s">
        <v>10</v>
      </c>
      <c r="H11" s="28" t="s">
        <v>11</v>
      </c>
    </row>
    <row r="12" customFormat="false" ht="46.25" hidden="false" customHeight="false" outlineLevel="0" collapsed="false">
      <c r="A12" s="13" t="s">
        <v>49</v>
      </c>
      <c r="B12" s="13" t="s">
        <v>38</v>
      </c>
      <c r="C12" s="13" t="s">
        <v>50</v>
      </c>
      <c r="D12" s="29" t="s">
        <v>338</v>
      </c>
      <c r="E12" s="30" t="n">
        <v>46274</v>
      </c>
      <c r="F12" s="30" t="n">
        <v>46275</v>
      </c>
      <c r="G12" s="29" t="s">
        <v>339</v>
      </c>
      <c r="H12" s="31" t="n">
        <v>0.6</v>
      </c>
    </row>
    <row r="14" customFormat="false" ht="15" hidden="false" customHeight="false" outlineLevel="0" collapsed="false">
      <c r="A14" s="32" t="s">
        <v>340</v>
      </c>
    </row>
    <row r="15" customFormat="false" ht="15" hidden="false" customHeight="true" outlineLevel="0" collapsed="false">
      <c r="A15" s="33" t="s">
        <v>341</v>
      </c>
      <c r="B15" s="33"/>
      <c r="C15" s="33"/>
      <c r="D15" s="33"/>
      <c r="E15" s="33"/>
      <c r="F15" s="33"/>
      <c r="G15" s="33"/>
      <c r="H15" s="33"/>
    </row>
    <row r="16" customFormat="false" ht="15" hidden="false" customHeight="true" outlineLevel="0" collapsed="false">
      <c r="A16" s="33" t="s">
        <v>342</v>
      </c>
      <c r="B16" s="33"/>
      <c r="C16" s="33"/>
      <c r="D16" s="33"/>
      <c r="E16" s="33"/>
      <c r="F16" s="33"/>
      <c r="G16" s="33"/>
      <c r="H16" s="33"/>
    </row>
    <row r="17" customFormat="false" ht="15" hidden="false" customHeight="true" outlineLevel="0" collapsed="false">
      <c r="A17" s="33" t="s">
        <v>343</v>
      </c>
      <c r="B17" s="33"/>
      <c r="C17" s="33"/>
      <c r="D17" s="33"/>
      <c r="E17" s="33"/>
      <c r="F17" s="33"/>
      <c r="G17" s="33"/>
      <c r="H17" s="33"/>
    </row>
    <row r="18" customFormat="false" ht="15" hidden="false" customHeight="true" outlineLevel="0" collapsed="false">
      <c r="A18" s="33" t="s">
        <v>344</v>
      </c>
      <c r="B18" s="33"/>
      <c r="C18" s="33"/>
      <c r="D18" s="33"/>
      <c r="E18" s="33"/>
      <c r="F18" s="33"/>
      <c r="G18" s="33"/>
      <c r="H18" s="33"/>
    </row>
    <row r="19" customFormat="false" ht="15" hidden="false" customHeight="true" outlineLevel="0" collapsed="false">
      <c r="A19" s="33" t="s">
        <v>345</v>
      </c>
      <c r="B19" s="33"/>
      <c r="C19" s="33"/>
      <c r="D19" s="33"/>
      <c r="E19" s="33"/>
      <c r="F19" s="33"/>
      <c r="G19" s="33"/>
      <c r="H19" s="33"/>
    </row>
    <row r="20" customFormat="false" ht="15" hidden="false" customHeight="true" outlineLevel="0" collapsed="false">
      <c r="A20" s="33" t="s">
        <v>346</v>
      </c>
      <c r="B20" s="33"/>
      <c r="C20" s="33"/>
      <c r="D20" s="33"/>
      <c r="E20" s="33"/>
      <c r="F20" s="33"/>
      <c r="G20" s="33"/>
      <c r="H20" s="33"/>
    </row>
    <row r="21" customFormat="false" ht="15" hidden="false" customHeight="true" outlineLevel="0" collapsed="false">
      <c r="A21" s="33" t="s">
        <v>347</v>
      </c>
      <c r="B21" s="33"/>
      <c r="C21" s="33"/>
      <c r="D21" s="33"/>
      <c r="E21" s="33"/>
      <c r="F21" s="33"/>
      <c r="G21" s="33"/>
      <c r="H21" s="33"/>
    </row>
    <row r="22" customFormat="false" ht="15" hidden="false" customHeight="true" outlineLevel="0" collapsed="false">
      <c r="A22" s="33" t="s">
        <v>348</v>
      </c>
      <c r="B22" s="33"/>
      <c r="C22" s="33"/>
      <c r="D22" s="33"/>
      <c r="E22" s="33"/>
      <c r="F22" s="33"/>
      <c r="G22" s="33"/>
      <c r="H22" s="33"/>
    </row>
    <row r="23" customFormat="false" ht="15" hidden="false" customHeight="true" outlineLevel="0" collapsed="false">
      <c r="A23" s="33" t="s">
        <v>349</v>
      </c>
      <c r="B23" s="33"/>
      <c r="C23" s="33"/>
      <c r="D23" s="33"/>
      <c r="E23" s="33"/>
      <c r="F23" s="33"/>
      <c r="G23" s="33"/>
      <c r="H23" s="33"/>
    </row>
    <row r="24" customFormat="false" ht="15" hidden="false" customHeight="true" outlineLevel="0" collapsed="false">
      <c r="A24" s="33" t="s">
        <v>350</v>
      </c>
      <c r="B24" s="33"/>
      <c r="C24" s="33"/>
      <c r="D24" s="33"/>
      <c r="E24" s="33"/>
      <c r="F24" s="33"/>
      <c r="G24" s="33"/>
      <c r="H24" s="33"/>
    </row>
    <row r="25" customFormat="false" ht="15" hidden="false" customHeight="true" outlineLevel="0" collapsed="false">
      <c r="A25" s="33" t="s">
        <v>351</v>
      </c>
      <c r="B25" s="33"/>
      <c r="C25" s="33"/>
      <c r="D25" s="33"/>
      <c r="E25" s="33"/>
      <c r="F25" s="33"/>
      <c r="G25" s="33"/>
      <c r="H25" s="33"/>
    </row>
    <row r="27" customFormat="false" ht="15" hidden="false" customHeight="false" outlineLevel="0" collapsed="false">
      <c r="A27" s="34" t="s">
        <v>352</v>
      </c>
    </row>
    <row r="28" customFormat="false" ht="15" hidden="false" customHeight="true" outlineLevel="0" collapsed="false">
      <c r="A28" s="35" t="s">
        <v>353</v>
      </c>
      <c r="B28" s="35"/>
      <c r="C28" s="35"/>
      <c r="D28" s="35"/>
      <c r="E28" s="35"/>
      <c r="F28" s="35"/>
      <c r="G28" s="35"/>
      <c r="H28" s="35"/>
    </row>
    <row r="29" customFormat="false" ht="15" hidden="false" customHeight="true" outlineLevel="0" collapsed="false">
      <c r="A29" s="33" t="s">
        <v>354</v>
      </c>
      <c r="B29" s="33"/>
      <c r="C29" s="33"/>
      <c r="D29" s="33"/>
      <c r="E29" s="33"/>
      <c r="F29" s="33"/>
      <c r="G29" s="33"/>
      <c r="H29" s="33"/>
    </row>
    <row r="30" customFormat="false" ht="15" hidden="false" customHeight="true" outlineLevel="0" collapsed="false">
      <c r="A30" s="33" t="s">
        <v>355</v>
      </c>
      <c r="B30" s="33"/>
      <c r="C30" s="33"/>
      <c r="D30" s="33"/>
      <c r="E30" s="33"/>
      <c r="F30" s="33"/>
      <c r="G30" s="33"/>
      <c r="H30" s="33"/>
    </row>
    <row r="31" customFormat="false" ht="15" hidden="false" customHeight="false" outlineLevel="0" collapsed="false">
      <c r="A31" s="33"/>
      <c r="B31" s="33"/>
      <c r="C31" s="33"/>
      <c r="D31" s="33"/>
      <c r="E31" s="33"/>
      <c r="F31" s="33"/>
      <c r="G31" s="33"/>
      <c r="H31" s="33"/>
    </row>
    <row r="32" customFormat="false" ht="15" hidden="false" customHeight="true" outlineLevel="0" collapsed="false">
      <c r="A32" s="35" t="s">
        <v>356</v>
      </c>
      <c r="B32" s="35"/>
      <c r="C32" s="35"/>
      <c r="D32" s="35"/>
      <c r="E32" s="35"/>
      <c r="F32" s="35"/>
      <c r="G32" s="35"/>
      <c r="H32" s="35"/>
    </row>
    <row r="33" customFormat="false" ht="15" hidden="false" customHeight="true" outlineLevel="0" collapsed="false">
      <c r="A33" s="33" t="s">
        <v>357</v>
      </c>
      <c r="B33" s="33"/>
      <c r="C33" s="33"/>
      <c r="D33" s="33"/>
      <c r="E33" s="33"/>
      <c r="F33" s="33"/>
      <c r="G33" s="33"/>
      <c r="H33" s="33"/>
    </row>
    <row r="34" customFormat="false" ht="15" hidden="false" customHeight="true" outlineLevel="0" collapsed="false">
      <c r="A34" s="33" t="s">
        <v>358</v>
      </c>
      <c r="B34" s="33"/>
      <c r="C34" s="33"/>
      <c r="D34" s="33"/>
      <c r="E34" s="33"/>
      <c r="F34" s="33"/>
      <c r="G34" s="33"/>
      <c r="H34" s="33"/>
    </row>
    <row r="35" customFormat="false" ht="15" hidden="false" customHeight="false" outlineLevel="0" collapsed="false">
      <c r="A35" s="33"/>
      <c r="B35" s="33"/>
      <c r="C35" s="33"/>
      <c r="D35" s="33"/>
      <c r="E35" s="33"/>
      <c r="F35" s="33"/>
      <c r="G35" s="33"/>
      <c r="H35" s="33"/>
    </row>
    <row r="36" customFormat="false" ht="15" hidden="false" customHeight="true" outlineLevel="0" collapsed="false">
      <c r="A36" s="35" t="s">
        <v>359</v>
      </c>
      <c r="B36" s="35"/>
      <c r="C36" s="35"/>
      <c r="D36" s="35"/>
      <c r="E36" s="35"/>
      <c r="F36" s="35"/>
      <c r="G36" s="35"/>
      <c r="H36" s="35"/>
    </row>
    <row r="37" customFormat="false" ht="15" hidden="false" customHeight="true" outlineLevel="0" collapsed="false">
      <c r="A37" s="33" t="s">
        <v>360</v>
      </c>
      <c r="B37" s="33"/>
      <c r="C37" s="33"/>
      <c r="D37" s="33"/>
      <c r="E37" s="33"/>
      <c r="F37" s="33"/>
      <c r="G37" s="33"/>
      <c r="H37" s="33"/>
    </row>
    <row r="38" customFormat="false" ht="15" hidden="false" customHeight="false" outlineLevel="0" collapsed="false">
      <c r="A38" s="33"/>
      <c r="B38" s="33"/>
      <c r="C38" s="33"/>
      <c r="D38" s="33"/>
      <c r="E38" s="33"/>
      <c r="F38" s="33"/>
      <c r="G38" s="33"/>
      <c r="H38" s="33"/>
    </row>
    <row r="39" customFormat="false" ht="15" hidden="false" customHeight="true" outlineLevel="0" collapsed="false">
      <c r="A39" s="33" t="s">
        <v>361</v>
      </c>
      <c r="B39" s="33"/>
      <c r="C39" s="33"/>
      <c r="D39" s="33"/>
      <c r="E39" s="33"/>
      <c r="F39" s="33"/>
      <c r="G39" s="33"/>
      <c r="H39" s="33"/>
    </row>
  </sheetData>
  <mergeCells count="23">
    <mergeCell ref="A15:H15"/>
    <mergeCell ref="A16:H16"/>
    <mergeCell ref="A17:H17"/>
    <mergeCell ref="A18:H18"/>
    <mergeCell ref="A19:H19"/>
    <mergeCell ref="A20:H20"/>
    <mergeCell ref="A21:H21"/>
    <mergeCell ref="A22:H22"/>
    <mergeCell ref="A23:H23"/>
    <mergeCell ref="A24:H24"/>
    <mergeCell ref="A25:H25"/>
    <mergeCell ref="A28:H28"/>
    <mergeCell ref="A29:H29"/>
    <mergeCell ref="A30:H30"/>
    <mergeCell ref="A31:H31"/>
    <mergeCell ref="A32:H32"/>
    <mergeCell ref="A33:H33"/>
    <mergeCell ref="A34:H34"/>
    <mergeCell ref="A35:H35"/>
    <mergeCell ref="A36:H36"/>
    <mergeCell ref="A37:H37"/>
    <mergeCell ref="A38:H38"/>
    <mergeCell ref="A39:H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2026-09-08T00:58:51Z</dcterms:created>
  <dc:creator>openpyxl</dc:creator>
  <dc:description/>
  <dc:language>en-US</dc:language>
  <cp:lastModifiedBy/>
  <dcterms:modified xsi:type="dcterms:W3CDTF">2026-09-08T00:58:51Z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